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 книге" sheetId="1" state="visible" r:id="rId1"/>
    <sheet xmlns:r="http://schemas.openxmlformats.org/officeDocument/2006/relationships" name="Предприятия" sheetId="2" state="visible" r:id="rId2"/>
    <sheet xmlns:r="http://schemas.openxmlformats.org/officeDocument/2006/relationships" name="Операции" sheetId="3" state="visible" r:id="rId3"/>
    <sheet xmlns:r="http://schemas.openxmlformats.org/officeDocument/2006/relationships" name="Участки" sheetId="4" state="visible" r:id="rId4"/>
    <sheet xmlns:r="http://schemas.openxmlformats.org/officeDocument/2006/relationships" name="Инвентарь диска" sheetId="5" state="visible" r:id="rId5"/>
    <sheet xmlns:r="http://schemas.openxmlformats.org/officeDocument/2006/relationships" name="Реестр инструментов" sheetId="6" state="visible" r:id="rId6"/>
    <sheet xmlns:r="http://schemas.openxmlformats.org/officeDocument/2006/relationships" name="Нормы" sheetId="7" state="visible" r:id="rId7"/>
    <sheet xmlns:r="http://schemas.openxmlformats.org/officeDocument/2006/relationships" name="Журнал решений" sheetId="8" state="visible" r:id="rId8"/>
    <sheet xmlns:r="http://schemas.openxmlformats.org/officeDocument/2006/relationships" name="Хронометраж" sheetId="9" state="visible" r:id="rId9"/>
  </sheets>
  <definedNames/>
  <calcPr calcId="124519" fullCalcOnLoad="1"/>
</workbook>
</file>

<file path=xl/styles.xml><?xml version="1.0" encoding="utf-8"?>
<styleSheet xmlns="http://schemas.openxmlformats.org/spreadsheetml/2006/main">
  <numFmts count="3">
    <numFmt numFmtId="164" formatCode="#,##0;[Red]-#,##0;-"/>
    <numFmt numFmtId="165" formatCode="0.0"/>
    <numFmt numFmtId="166" formatCode="DD.MM.YYYY"/>
  </numFmts>
  <fonts count="6">
    <font>
      <name val="Calibri"/>
      <family val="2"/>
      <color theme="1"/>
      <sz val="11"/>
      <scheme val="minor"/>
    </font>
    <font>
      <name val="Arial"/>
      <b val="1"/>
      <sz val="14"/>
    </font>
    <font>
      <name val="Arial"/>
      <i val="1"/>
      <color rgb="00555555"/>
      <sz val="9"/>
    </font>
    <font>
      <name val="Arial"/>
      <b val="1"/>
      <color rgb="00FFFFFF"/>
      <sz val="10"/>
    </font>
    <font>
      <name val="Arial"/>
      <sz val="10"/>
    </font>
    <font>
      <name val="Arial"/>
      <b val="1"/>
      <sz val="10"/>
    </font>
  </fonts>
  <fills count="5">
    <fill>
      <patternFill/>
    </fill>
    <fill>
      <patternFill patternType="gray125"/>
    </fill>
    <fill>
      <patternFill patternType="solid">
        <fgColor rgb="001F3864"/>
      </patternFill>
    </fill>
    <fill>
      <patternFill patternType="solid">
        <fgColor rgb="00D9E1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164" fontId="4" fillId="0" borderId="1" applyAlignment="1" pivotButton="0" quotePrefix="0" xfId="0">
      <alignment vertical="top" wrapText="1"/>
    </xf>
    <xf numFmtId="9" fontId="4" fillId="0" borderId="1" applyAlignment="1" pivotButton="0" quotePrefix="0" xfId="0">
      <alignment vertical="top" wrapText="1"/>
    </xf>
    <xf numFmtId="165" fontId="4" fillId="0" borderId="1" applyAlignment="1" pivotButton="0" quotePrefix="0" xfId="0">
      <alignment vertical="top" wrapText="1"/>
    </xf>
    <xf numFmtId="0" fontId="5" fillId="3" borderId="1" applyAlignment="1" pivotButton="0" quotePrefix="0" xfId="0">
      <alignment vertical="top" wrapText="1"/>
    </xf>
    <xf numFmtId="164" fontId="5" fillId="3" borderId="1" applyAlignment="1" pivotButton="0" quotePrefix="0" xfId="0">
      <alignment vertical="top" wrapText="1"/>
    </xf>
    <xf numFmtId="165" fontId="5" fillId="3" borderId="1" applyAlignment="1" pivotButton="0" quotePrefix="0" xfId="0">
      <alignment vertical="top" wrapText="1"/>
    </xf>
    <xf numFmtId="0" fontId="4" fillId="4" borderId="1" applyAlignment="1" pivotButton="0" quotePrefix="0" xfId="0">
      <alignment vertical="top" wrapText="1"/>
    </xf>
    <xf numFmtId="165" fontId="4" fillId="4" borderId="1" applyAlignment="1" pivotButton="0" quotePrefix="0" xfId="0">
      <alignment vertical="top" wrapText="1"/>
    </xf>
    <xf numFmtId="166" fontId="4" fillId="4" borderId="1" applyAlignment="1" pivotButton="0" quotePrefix="0" xfId="0">
      <alignment vertical="top" wrapText="1"/>
    </xf>
    <xf numFmtId="1" fontId="4" fillId="4" borderId="1" applyAlignment="1" pivotButton="0" quotePrefix="0" xfId="0">
      <alignment vertical="top" wrapText="1"/>
    </xf>
    <xf numFmtId="1" fontId="4" fillId="0" borderId="1" applyAlignment="1" pivotButton="0" quotePrefix="0" xfId="0">
      <alignment vertical="top" wrapText="1"/>
    </xf>
    <xf numFmtId="1"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4" customWidth="1" min="1" max="1"/>
    <col width="110" customWidth="1" min="2" max="2"/>
  </cols>
  <sheetData>
    <row r="1">
      <c r="A1" s="1" t="inlineStr">
        <is>
          <t>Данные проекта «Производительность труда: ресторанный контур»</t>
        </is>
      </c>
    </row>
    <row r="2">
      <c r="A2" s="2" t="inlineStr">
        <is>
          <t>Исходная картина на 16.10.2026. Актуальная версия — та, что Ирина подтвердила и записала в журнал решений.</t>
        </is>
      </c>
    </row>
    <row r="4" ht="30" customHeight="1">
      <c r="A4" s="3" t="inlineStr">
        <is>
          <t>Лист</t>
        </is>
      </c>
      <c r="B4" s="3" t="inlineStr">
        <is>
          <t>Что в нём и на каком шаге нужен</t>
        </is>
      </c>
    </row>
    <row r="5" ht="30" customHeight="1">
      <c r="A5" s="4" t="inlineStr">
        <is>
          <t>Предприятия</t>
        </is>
      </c>
      <c r="B5" s="5" t="inlineStr">
        <is>
          <t>Размер предприятий и часы ручной работы: с чего начать и по какому показателю сравнивать (шаг 0–1).</t>
        </is>
      </c>
    </row>
    <row r="6" ht="30" customHeight="1">
      <c r="A6" s="4" t="inlineStr">
        <is>
          <t>Операции</t>
        </is>
      </c>
      <c r="B6" s="5" t="inlineStr">
        <is>
          <t>109 ручных операций по предприятиям с часами и файлом-свидетельством. Жёлтые столбцы заполняет Ирина: отметка шага 1, решение шага 3.</t>
        </is>
      </c>
    </row>
    <row r="7" ht="30" customHeight="1">
      <c r="A7" s="4" t="inlineStr">
        <is>
          <t>Участки</t>
        </is>
      </c>
      <c r="B7" s="5" t="inlineStr">
        <is>
          <t>54 участка (предприятие и группа операций) по убыванию эффекта. Жёлтые столбцы: статус, проводник, даты, факт замера.</t>
        </is>
      </c>
    </row>
    <row r="8" ht="30" customHeight="1">
      <c r="A8" s="4" t="inlineStr">
        <is>
          <t>Инвентарь диска</t>
        </is>
      </c>
      <c r="B8" s="5" t="inlineStr">
        <is>
          <t>Какими файлами и чатами компания пользуется сегодня, где они лежат и что с ними предлагается сделать (шаг 3–4).</t>
        </is>
      </c>
    </row>
    <row r="9" ht="30" customHeight="1">
      <c r="A9" s="4" t="inlineStr">
        <is>
          <t>Реестр инструментов</t>
        </is>
      </c>
      <c r="B9" s="5" t="inlineStr">
        <is>
          <t>Что уже работает и что могут собрать Claude Code и Вертер; сроки и что нужно от компании (шаг 5).</t>
        </is>
      </c>
    </row>
    <row r="10" ht="30" customHeight="1">
      <c r="A10" s="4" t="inlineStr">
        <is>
          <t>Нормы</t>
        </is>
      </c>
      <c r="B10" s="5" t="inlineStr">
        <is>
          <t>Нормы времени, на которых построена оценка; заменяются замером (шаг 2).</t>
        </is>
      </c>
    </row>
    <row r="11" ht="30" customHeight="1">
      <c r="A11" s="4" t="inlineStr">
        <is>
          <t>Журнал решений</t>
        </is>
      </c>
      <c r="B11" s="5" t="inlineStr">
        <is>
          <t>Пустой журнал: строки выдаёт Claude после каждого решения, Ирина вносит их сюда.</t>
        </is>
      </c>
    </row>
    <row r="12" ht="30" customHeight="1">
      <c r="A12" s="4" t="inlineStr">
        <is>
          <t>Хронометраж</t>
        </is>
      </c>
      <c r="B12" s="5" t="inlineStr">
        <is>
          <t>Пустой бланк замера на неделю; копируется на каждый пилот (шаг 2 и 7).</t>
        </is>
      </c>
    </row>
    <row r="14">
      <c r="A14" s="6" t="inlineStr">
        <is>
          <t>Правила чтения цифр</t>
        </is>
      </c>
    </row>
    <row r="15" ht="28" customHeight="1">
      <c r="A15" s="7" t="inlineStr">
        <is>
          <t>Все часы — оценка по файлам на диске Bitrix24 и нормам времени, а не факт; факт появляется после замера на шаге 2.</t>
        </is>
      </c>
    </row>
    <row r="16" ht="28" customHeight="1">
      <c r="A16" s="7" t="inlineStr">
        <is>
          <t>Персональных данных в книге нет: только роли, часы и доли.</t>
        </is>
      </c>
    </row>
    <row r="17" ht="28" customHeight="1">
      <c r="A17" s="7" t="inlineStr">
        <is>
          <t>Ставки для перевода часов в рубли: офис и УК 650 ₽/ч, управляющий и шеф 600 ₽/ч, менеджеры смен и линейный персонал 380 ₽/ч (допущение).</t>
        </is>
      </c>
    </row>
  </sheetData>
  <mergeCells count="3">
    <mergeCell ref="A16:B16"/>
    <mergeCell ref="A15:B15"/>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4" customWidth="1" min="3" max="3"/>
    <col width="14" customWidth="1" min="4" max="4"/>
    <col width="10" customWidth="1" min="5" max="5"/>
    <col width="10" customWidth="1" min="6" max="6"/>
    <col width="10" customWidth="1" min="7" max="7"/>
    <col width="9" customWidth="1" min="8" max="8"/>
    <col width="11" customWidth="1" min="9" max="9"/>
    <col width="11" customWidth="1" min="10" max="10"/>
    <col width="11" customWidth="1" min="11" max="11"/>
    <col width="11" customWidth="1" min="12" max="12"/>
    <col width="9" customWidth="1" min="13" max="13"/>
  </cols>
  <sheetData>
    <row r="1">
      <c r="A1" s="1" t="inlineStr">
        <is>
          <t>Предприятия ресторанного контура: размер и ручная работа (оценка по файлам на 16.10.2026)</t>
        </is>
      </c>
    </row>
    <row r="2">
      <c r="A2" s="2" t="inlineStr">
        <is>
          <t>Выручка и зарплата — ОДР сентября 2026; часы — оценка по файлам диска Bitrix24 и нормам (лист «Нормы»), подтверждаются замером на шаге 2.</t>
        </is>
      </c>
    </row>
    <row r="4" ht="40" customHeight="1">
      <c r="A4" s="3" t="inlineStr">
        <is>
          <t>Код</t>
        </is>
      </c>
      <c r="B4" s="3" t="inlineStr">
        <is>
          <t>Предприятие</t>
        </is>
      </c>
      <c r="C4" s="3" t="inlineStr">
        <is>
          <t>Выручка сентября 2026, ₽</t>
        </is>
      </c>
      <c r="D4" s="3" t="inlineStr">
        <is>
          <t>Зарплата сентября 2026, ₽</t>
        </is>
      </c>
      <c r="E4" s="3" t="inlineStr">
        <is>
          <t>Доля зарплаты в выручке</t>
        </is>
      </c>
      <c r="F4" s="3" t="inlineStr">
        <is>
          <t>Гостей в сентябре</t>
        </is>
      </c>
      <c r="G4" s="3" t="inlineStr">
        <is>
          <t>Сотрудников (оценка)</t>
        </is>
      </c>
      <c r="H4" s="3" t="inlineStr">
        <is>
          <t>Файлов в папке объекта</t>
        </is>
      </c>
      <c r="I4" s="3" t="inlineStr">
        <is>
          <t>Часов ручной работы в месяц (оценка)</t>
        </is>
      </c>
      <c r="J4" s="3" t="inlineStr">
        <is>
          <t>Часов после (оценка)</t>
        </is>
      </c>
      <c r="K4" s="3" t="inlineStr">
        <is>
          <t>Освобождается, часов</t>
        </is>
      </c>
      <c r="L4" s="3" t="inlineStr">
        <is>
          <t>Часов на 1 млн ₽ выручки</t>
        </is>
      </c>
      <c r="M4" s="3" t="inlineStr">
        <is>
          <t>Участков</t>
        </is>
      </c>
    </row>
    <row r="5" ht="30" customHeight="1">
      <c r="A5" s="5" t="inlineStr">
        <is>
          <t>ENC</t>
        </is>
      </c>
      <c r="B5" s="5" t="inlineStr">
        <is>
          <t>Анкор (Encore-cafe)</t>
        </is>
      </c>
      <c r="C5" s="8" t="n">
        <v>2308167</v>
      </c>
      <c r="D5" s="8" t="n">
        <v>908710</v>
      </c>
      <c r="E5" s="9" t="n">
        <v>0.3936933506111126</v>
      </c>
      <c r="F5" s="8" t="n">
        <v>3231</v>
      </c>
      <c r="G5" s="5" t="n">
        <v>20</v>
      </c>
      <c r="H5" s="5" t="n">
        <v>26</v>
      </c>
      <c r="I5" s="10" t="n">
        <v>96.7</v>
      </c>
      <c r="J5" s="10" t="n">
        <v>27.755</v>
      </c>
      <c r="K5" s="10" t="n">
        <v>68.94500000000001</v>
      </c>
      <c r="L5" s="10" t="n">
        <v>41.8947155903364</v>
      </c>
      <c r="M5" s="5" t="n">
        <v>6</v>
      </c>
    </row>
    <row r="6" ht="30" customHeight="1">
      <c r="A6" s="5" t="inlineStr">
        <is>
          <t>KOR</t>
        </is>
      </c>
      <c r="B6" s="5" t="inlineStr">
        <is>
          <t>Корнеры «Главного» (3 точки)</t>
        </is>
      </c>
      <c r="C6" s="8" t="n">
        <v>5774882</v>
      </c>
      <c r="D6" s="8" t="n">
        <v>1573038</v>
      </c>
      <c r="E6" s="9" t="n">
        <v>0.2723930982485876</v>
      </c>
      <c r="F6" s="8" t="n">
        <v>8759</v>
      </c>
      <c r="G6" s="5" t="n">
        <v>40</v>
      </c>
      <c r="H6" s="5" t="n">
        <v>34</v>
      </c>
      <c r="I6" s="10" t="n">
        <v>118</v>
      </c>
      <c r="J6" s="10" t="n">
        <v>34.775</v>
      </c>
      <c r="K6" s="10" t="n">
        <v>83.22499999999999</v>
      </c>
      <c r="L6" s="10" t="n">
        <v>20.43331794485151</v>
      </c>
      <c r="M6" s="5" t="n">
        <v>6</v>
      </c>
    </row>
    <row r="7" ht="30" customHeight="1">
      <c r="A7" s="5" t="inlineStr">
        <is>
          <t>BZ</t>
        </is>
      </c>
      <c r="B7" s="5" t="inlineStr">
        <is>
          <t>Банкетный зал</t>
        </is>
      </c>
      <c r="C7" s="8" t="n">
        <v>2795349</v>
      </c>
      <c r="D7" s="8" t="n">
        <v>892174</v>
      </c>
      <c r="E7" s="9" t="n">
        <v>0.3191637251734936</v>
      </c>
      <c r="F7" s="8" t="n">
        <v>146</v>
      </c>
      <c r="G7" s="5" t="n">
        <v>15</v>
      </c>
      <c r="H7" s="5" t="n">
        <v>9</v>
      </c>
      <c r="I7" s="10" t="n">
        <v>46.9</v>
      </c>
      <c r="J7" s="10" t="n">
        <v>11.515</v>
      </c>
      <c r="K7" s="10" t="n">
        <v>35.385</v>
      </c>
      <c r="L7" s="10" t="n">
        <v>16.77786923922558</v>
      </c>
      <c r="M7" s="5" t="n">
        <v>3</v>
      </c>
    </row>
    <row r="8" ht="30" customHeight="1">
      <c r="A8" s="5" t="inlineStr">
        <is>
          <t>DEL</t>
        </is>
      </c>
      <c r="B8" s="5" t="inlineStr">
        <is>
          <t>Доставка (Исеть и Нагорный)</t>
        </is>
      </c>
      <c r="C8" s="8" t="n">
        <v>4884579</v>
      </c>
      <c r="D8" s="8" t="n">
        <v>1693371</v>
      </c>
      <c r="E8" s="9" t="n">
        <v>0.3466769602866491</v>
      </c>
      <c r="F8" s="8" t="n">
        <v>2258</v>
      </c>
      <c r="G8" s="5" t="n">
        <v>25</v>
      </c>
      <c r="H8" s="5" t="n">
        <v>21</v>
      </c>
      <c r="I8" s="10" t="n">
        <v>57.1</v>
      </c>
      <c r="J8" s="10" t="n">
        <v>11.51</v>
      </c>
      <c r="K8" s="10" t="n">
        <v>45.59</v>
      </c>
      <c r="L8" s="10" t="n">
        <v>11.68985085510952</v>
      </c>
      <c r="M8" s="5" t="n">
        <v>5</v>
      </c>
    </row>
    <row r="9" ht="30" customHeight="1">
      <c r="A9" s="5" t="inlineStr">
        <is>
          <t>BWI</t>
        </is>
      </c>
      <c r="B9" s="5" t="inlineStr">
        <is>
          <t>Breadway Исеть</t>
        </is>
      </c>
      <c r="C9" s="8" t="n">
        <v>6725138</v>
      </c>
      <c r="D9" s="8" t="n">
        <v>2724804</v>
      </c>
      <c r="E9" s="9" t="n">
        <v>0.40516700177751</v>
      </c>
      <c r="F9" s="8" t="n">
        <v>3569</v>
      </c>
      <c r="G9" s="5" t="n">
        <v>55</v>
      </c>
      <c r="H9" s="5" t="n">
        <v>18</v>
      </c>
      <c r="I9" s="10" t="n">
        <v>78.90000000000001</v>
      </c>
      <c r="J9" s="10" t="n">
        <v>24.015</v>
      </c>
      <c r="K9" s="10" t="n">
        <v>54.88500000000001</v>
      </c>
      <c r="L9" s="10" t="n">
        <v>11.73210125948345</v>
      </c>
      <c r="M9" s="5" t="n">
        <v>7</v>
      </c>
    </row>
    <row r="10" ht="30" customHeight="1">
      <c r="A10" s="5" t="inlineStr">
        <is>
          <t>CHA</t>
        </is>
      </c>
      <c r="B10" s="5" t="inlineStr">
        <is>
          <t>Чаща</t>
        </is>
      </c>
      <c r="C10" s="8" t="n">
        <v>6607982</v>
      </c>
      <c r="D10" s="8" t="n">
        <v>2437757</v>
      </c>
      <c r="E10" s="9" t="n">
        <v>0.3689109625298616</v>
      </c>
      <c r="F10" s="8" t="n">
        <v>5100</v>
      </c>
      <c r="G10" s="5" t="n">
        <v>45</v>
      </c>
      <c r="H10" s="5" t="n">
        <v>12</v>
      </c>
      <c r="I10" s="10" t="n">
        <v>67</v>
      </c>
      <c r="J10" s="10" t="n">
        <v>18.975</v>
      </c>
      <c r="K10" s="10" t="n">
        <v>48.025</v>
      </c>
      <c r="L10" s="10" t="n">
        <v>10.13925280062809</v>
      </c>
      <c r="M10" s="5" t="n">
        <v>7</v>
      </c>
    </row>
    <row r="11" ht="30" customHeight="1">
      <c r="A11" s="5" t="inlineStr">
        <is>
          <t>TRB</t>
        </is>
      </c>
      <c r="B11" s="5" t="inlineStr">
        <is>
          <t>Трибу</t>
        </is>
      </c>
      <c r="C11" s="8" t="n">
        <v>10441700</v>
      </c>
      <c r="D11" s="8" t="n">
        <v>2929293</v>
      </c>
      <c r="E11" s="9" t="n">
        <v>0.2805379392244558</v>
      </c>
      <c r="F11" s="8" t="n">
        <v>2193</v>
      </c>
      <c r="G11" s="5" t="n">
        <v>60</v>
      </c>
      <c r="H11" s="5" t="n">
        <v>16</v>
      </c>
      <c r="I11" s="10" t="n">
        <v>76.90000000000001</v>
      </c>
      <c r="J11" s="10" t="n">
        <v>21.79</v>
      </c>
      <c r="K11" s="10" t="n">
        <v>55.11000000000001</v>
      </c>
      <c r="L11" s="10" t="n">
        <v>7.36470115019585</v>
      </c>
      <c r="M11" s="5" t="n">
        <v>6</v>
      </c>
    </row>
    <row r="12" ht="30" customHeight="1">
      <c r="A12" s="5" t="inlineStr">
        <is>
          <t>BWN</t>
        </is>
      </c>
      <c r="B12" s="5" t="inlineStr">
        <is>
          <t>Breadway Нагорный</t>
        </is>
      </c>
      <c r="C12" s="8" t="n">
        <v>9014830</v>
      </c>
      <c r="D12" s="8" t="n">
        <v>3000769</v>
      </c>
      <c r="E12" s="9" t="n">
        <v>0.3328702815249983</v>
      </c>
      <c r="F12" s="8" t="n">
        <v>4962</v>
      </c>
      <c r="G12" s="5" t="n">
        <v>50</v>
      </c>
      <c r="H12" s="5" t="n">
        <v>10</v>
      </c>
      <c r="I12" s="10" t="n">
        <v>61.4</v>
      </c>
      <c r="J12" s="10" t="n">
        <v>18.615</v>
      </c>
      <c r="K12" s="10" t="n">
        <v>42.785</v>
      </c>
      <c r="L12" s="10" t="n">
        <v>6.810999209081037</v>
      </c>
      <c r="M12" s="5" t="n">
        <v>5</v>
      </c>
    </row>
    <row r="13" ht="30" customHeight="1">
      <c r="A13" s="5" t="inlineStr">
        <is>
          <t>BAR</t>
        </is>
      </c>
      <c r="B13" s="5" t="inlineStr">
        <is>
          <t>the Barbara</t>
        </is>
      </c>
      <c r="C13" s="8" t="n">
        <v>14551700</v>
      </c>
      <c r="D13" s="8" t="n">
        <v>4334603</v>
      </c>
      <c r="E13" s="9" t="n">
        <v>0.2978760557185758</v>
      </c>
      <c r="F13" s="8" t="n">
        <v>5000</v>
      </c>
      <c r="G13" s="5" t="n">
        <v>95</v>
      </c>
      <c r="H13" s="5" t="n">
        <v>14</v>
      </c>
      <c r="I13" s="10" t="n">
        <v>69.90000000000001</v>
      </c>
      <c r="J13" s="10" t="n">
        <v>20.065</v>
      </c>
      <c r="K13" s="10" t="n">
        <v>49.83500000000001</v>
      </c>
      <c r="L13" s="10" t="n">
        <v>4.803562470364287</v>
      </c>
      <c r="M13" s="5" t="n">
        <v>6</v>
      </c>
    </row>
    <row r="14" ht="30" customHeight="1">
      <c r="A14" s="5" t="inlineStr">
        <is>
          <t>FK</t>
        </is>
      </c>
      <c r="B14" s="5" t="inlineStr">
        <is>
          <t>Башня: фабрика-кухня и офис (общие службы)</t>
        </is>
      </c>
      <c r="C14" s="8" t="n"/>
      <c r="D14" s="8" t="n"/>
      <c r="E14" s="9" t="n"/>
      <c r="F14" s="8" t="n"/>
      <c r="G14" s="5" t="n">
        <v>30</v>
      </c>
      <c r="H14" s="5" t="n">
        <v>4</v>
      </c>
      <c r="I14" s="10" t="n">
        <v>14.6</v>
      </c>
      <c r="J14" s="10" t="n">
        <v>3.76</v>
      </c>
      <c r="K14" s="10" t="n">
        <v>10.84</v>
      </c>
      <c r="L14" s="10" t="n"/>
      <c r="M14" s="5" t="n">
        <v>3</v>
      </c>
    </row>
    <row r="15">
      <c r="A15" s="11" t="inlineStr">
        <is>
          <t>ИТОГО</t>
        </is>
      </c>
      <c r="C15" s="12">
        <f>SUM(C5:C14)</f>
        <v/>
      </c>
      <c r="D15" s="12">
        <f>SUM(D5:D14)</f>
        <v/>
      </c>
      <c r="F15" s="12">
        <f>SUM(F5:F14)</f>
        <v/>
      </c>
      <c r="I15" s="13">
        <f>SUM(I5:I14)</f>
        <v/>
      </c>
      <c r="J15" s="13">
        <f>SUM(J5:J14)</f>
        <v/>
      </c>
      <c r="K15" s="13">
        <f>SUM(K5:K14)</f>
        <v/>
      </c>
      <c r="M15" s="11">
        <f>SUM(M5:M14)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4"/>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4" customWidth="1" min="3" max="3"/>
    <col width="6" customWidth="1" min="4" max="4"/>
    <col width="22" customWidth="1" min="5" max="5"/>
    <col width="46" customWidth="1" min="6" max="6"/>
    <col width="8" customWidth="1" min="7" max="7"/>
    <col width="9" customWidth="1" min="8" max="8"/>
    <col width="9" customWidth="1" min="9" max="9"/>
    <col width="9" customWidth="1" min="10" max="10"/>
    <col width="8" customWidth="1" min="11" max="11"/>
    <col width="8" customWidth="1" min="12" max="12"/>
    <col width="9" customWidth="1" min="13" max="13"/>
    <col width="50" customWidth="1" min="14" max="14"/>
    <col width="26" customWidth="1" min="15" max="15"/>
    <col width="16" customWidth="1" min="16" max="16"/>
    <col width="20" customWidth="1" min="17" max="17"/>
    <col width="26" customWidth="1" min="18" max="18"/>
  </cols>
  <sheetData>
    <row r="1">
      <c r="A1" s="1" t="inlineStr">
        <is>
          <t>Ручные операции по предприятиям: часы, свидетельство, чем заменяется</t>
        </is>
      </c>
    </row>
    <row r="2">
      <c r="A2" s="2" t="inlineStr">
        <is>
          <t>Оценка по файлам диска; «после» = часы × остаток для инструмента-замены. На шаге 1 Ирина отмечает «неверно / устарело / нет в списке», на шаге 3 — решение по каждой операции.</t>
        </is>
      </c>
    </row>
    <row r="4" ht="40" customHeight="1">
      <c r="A4" s="3" t="inlineStr">
        <is>
          <t>Код предприятия</t>
        </is>
      </c>
      <c r="B4" s="3" t="inlineStr">
        <is>
          <t>Предприятие</t>
        </is>
      </c>
      <c r="C4" s="3" t="inlineStr">
        <is>
          <t>Участок</t>
        </is>
      </c>
      <c r="D4" s="3" t="inlineStr">
        <is>
          <t>Норма</t>
        </is>
      </c>
      <c r="E4" s="3" t="inlineStr">
        <is>
          <t>Название нормы</t>
        </is>
      </c>
      <c r="F4" s="3" t="inlineStr">
        <is>
          <t>Операция</t>
        </is>
      </c>
      <c r="G4" s="3" t="inlineStr">
        <is>
          <t>Часов в месяц: офис и УК</t>
        </is>
      </c>
      <c r="H4" s="3" t="inlineStr">
        <is>
          <t>Часов в месяц: управляющий и шеф</t>
        </is>
      </c>
      <c r="I4" s="3" t="inlineStr">
        <is>
          <t>Часов в месяц: менеджеры смен и линейный персонал</t>
        </is>
      </c>
      <c r="J4" s="3" t="inlineStr">
        <is>
          <t>Часов в месяц всего (оценка по файлам)</t>
        </is>
      </c>
      <c r="K4" s="3" t="inlineStr">
        <is>
          <t>Остаток после замены (доля)</t>
        </is>
      </c>
      <c r="L4" s="3" t="inlineStr">
        <is>
          <t>Часов после (оценка)</t>
        </is>
      </c>
      <c r="M4" s="3" t="inlineStr">
        <is>
          <t>Освобождается (оценка)</t>
        </is>
      </c>
      <c r="N4" s="3" t="inlineStr">
        <is>
          <t>Свидетельство на диске Bitrix24</t>
        </is>
      </c>
      <c r="O4" s="3" t="inlineStr">
        <is>
          <t>Чем заменяется (инструмент реестра)</t>
        </is>
      </c>
      <c r="P4" s="3" t="inlineStr">
        <is>
          <t>Отметка ИД (шаг 1)</t>
        </is>
      </c>
      <c r="Q4" s="3" t="inlineStr">
        <is>
          <t>Решение ИД (шаг 3): убрать / упростить / перенести / оставить</t>
        </is>
      </c>
      <c r="R4" s="3" t="inlineStr">
        <is>
          <t>Комментарий ИД</t>
        </is>
      </c>
    </row>
    <row r="5" ht="60" customHeight="1">
      <c r="A5" s="5" t="inlineStr">
        <is>
          <t>ENC</t>
        </is>
      </c>
      <c r="B5" s="5" t="inlineStr">
        <is>
          <t>Анкор (Encore-cafe)</t>
        </is>
      </c>
      <c r="C5" s="5" t="inlineStr">
        <is>
          <t>Табель и свод ФОТ</t>
        </is>
      </c>
      <c r="D5" s="5" t="inlineStr">
        <is>
          <t>N1</t>
        </is>
      </c>
      <c r="E5" s="5" t="inlineStr">
        <is>
          <t>Табель: ввод часов</t>
        </is>
      </c>
      <c r="F5" s="5" t="inlineStr">
        <is>
          <t>Табель: ежедневный ввод часов и закрытие месяца с просчётом кухни по неделям</t>
        </is>
      </c>
      <c r="G5" s="10" t="n">
        <v>0</v>
      </c>
      <c r="H5" s="10" t="n">
        <v>12.5</v>
      </c>
      <c r="I5" s="10" t="n">
        <v>0</v>
      </c>
      <c r="J5" s="10" t="n">
        <v>12.5</v>
      </c>
      <c r="K5" s="9" t="n">
        <v>0.4</v>
      </c>
      <c r="L5" s="10" t="n">
        <v>5</v>
      </c>
      <c r="M5" s="10" t="n">
        <v>7.5</v>
      </c>
      <c r="N5" s="5" t="inlineStr">
        <is>
          <t>«Табель онлайн ФОТ Анкор 2026» 2,7 МБ, 283 тыс. знаков, листы «Кухня … Ф.О.Т» по неделям; обновлён 15.10 в 20:21</t>
        </is>
      </c>
      <c r="O5" s="5" t="inlineStr">
        <is>
          <t>T32 единый табель</t>
        </is>
      </c>
      <c r="P5" s="14" t="inlineStr"/>
      <c r="Q5" s="14" t="inlineStr"/>
      <c r="R5" s="14" t="inlineStr"/>
    </row>
    <row r="6" ht="60" customHeight="1">
      <c r="A6" s="5" t="inlineStr">
        <is>
          <t>ENC</t>
        </is>
      </c>
      <c r="B6" s="5" t="inlineStr">
        <is>
          <t>Анкор (Encore-cafe)</t>
        </is>
      </c>
      <c r="C6" s="5" t="inlineStr">
        <is>
          <t>План смен и графики</t>
        </is>
      </c>
      <c r="D6" s="5" t="inlineStr">
        <is>
          <t>N2</t>
        </is>
      </c>
      <c r="E6" s="5" t="inlineStr">
        <is>
          <t>Штатное расписание</t>
        </is>
      </c>
      <c r="F6" s="5" t="inlineStr">
        <is>
          <t>Штатное расписание (5 файлов ШР)</t>
        </is>
      </c>
      <c r="G6" s="10" t="n">
        <v>0</v>
      </c>
      <c r="H6" s="10" t="n">
        <v>6</v>
      </c>
      <c r="I6" s="10" t="n">
        <v>0</v>
      </c>
      <c r="J6" s="10" t="n">
        <v>6</v>
      </c>
      <c r="K6" s="9" t="n">
        <v>0.35</v>
      </c>
      <c r="L6" s="10" t="n">
        <v>2.1</v>
      </c>
      <c r="M6" s="10" t="n">
        <v>3.9</v>
      </c>
      <c r="N6" s="5" t="inlineStr">
        <is>
          <t>Encore/ШР и БДР: ШР ноябрь 2025 – февраль 2026 ББ ФК Анкор</t>
        </is>
      </c>
      <c r="O6" s="5" t="inlineStr">
        <is>
          <t>T02 планировщик смен</t>
        </is>
      </c>
      <c r="P6" s="14" t="inlineStr"/>
      <c r="Q6" s="14" t="inlineStr"/>
      <c r="R6" s="14" t="inlineStr"/>
    </row>
    <row r="7" ht="60" customHeight="1">
      <c r="A7" s="5" t="inlineStr">
        <is>
          <t>ENC</t>
        </is>
      </c>
      <c r="B7" s="5" t="inlineStr">
        <is>
          <t>Анкор (Encore-cafe)</t>
        </is>
      </c>
      <c r="C7" s="5" t="inlineStr">
        <is>
          <t>План смен и графики</t>
        </is>
      </c>
      <c r="D7" s="5" t="inlineStr">
        <is>
          <t>N3</t>
        </is>
      </c>
      <c r="E7" s="5" t="inlineStr">
        <is>
          <t>Недельный график смен</t>
        </is>
      </c>
      <c r="F7" s="5" t="inlineStr">
        <is>
          <t>Недельное расписание барменов и менеджеров</t>
        </is>
      </c>
      <c r="G7" s="10" t="n">
        <v>0</v>
      </c>
      <c r="H7" s="10" t="n">
        <v>0</v>
      </c>
      <c r="I7" s="10" t="n">
        <v>6</v>
      </c>
      <c r="J7" s="10" t="n">
        <v>6</v>
      </c>
      <c r="K7" s="9" t="n">
        <v>0.35</v>
      </c>
      <c r="L7" s="10" t="n">
        <v>2.1</v>
      </c>
      <c r="M7" s="10" t="n">
        <v>3.9</v>
      </c>
      <c r="N7" s="5" t="inlineStr">
        <is>
          <t>«Расписание.xlsx»: недели с 29.06, обновлён 02.10</t>
        </is>
      </c>
      <c r="O7" s="5" t="inlineStr">
        <is>
          <t>T02</t>
        </is>
      </c>
      <c r="P7" s="14" t="inlineStr"/>
      <c r="Q7" s="14" t="inlineStr"/>
      <c r="R7" s="14" t="inlineStr"/>
    </row>
    <row r="8" ht="60" customHeight="1">
      <c r="A8" s="5" t="inlineStr">
        <is>
          <t>ENC</t>
        </is>
      </c>
      <c r="B8" s="5" t="inlineStr">
        <is>
          <t>Анкор (Encore-cafe)</t>
        </is>
      </c>
      <c r="C8" s="5" t="inlineStr">
        <is>
          <t>Отчётность: план-факт, БДР, главные отчёты, итоги</t>
        </is>
      </c>
      <c r="D8" s="5" t="inlineStr">
        <is>
          <t>N4</t>
        </is>
      </c>
      <c r="E8" s="5" t="inlineStr">
        <is>
          <t>План-факт по дням</t>
        </is>
      </c>
      <c r="F8" s="5" t="inlineStr">
        <is>
          <t>План-факт по дням (центральный ввод, строка «Анкор»)</t>
        </is>
      </c>
      <c r="G8" s="10" t="n">
        <v>1.5</v>
      </c>
      <c r="H8" s="10" t="n">
        <v>0</v>
      </c>
      <c r="I8" s="10" t="n">
        <v>0</v>
      </c>
      <c r="J8" s="10" t="n">
        <v>1.5</v>
      </c>
      <c r="K8" s="9" t="n">
        <v>0.05</v>
      </c>
      <c r="L8" s="10" t="n">
        <v>0.07500000000000001</v>
      </c>
      <c r="M8" s="10" t="n">
        <v>1.425</v>
      </c>
      <c r="N8" s="5" t="inlineStr">
        <is>
          <t>«ПЛАН ФАКТ GC Октябрь 2026», лист Свод</t>
        </is>
      </c>
      <c r="O8" s="5" t="inlineStr">
        <is>
          <t>T06 светофор (факт из снимка iiko)</t>
        </is>
      </c>
      <c r="P8" s="14" t="inlineStr"/>
      <c r="Q8" s="14" t="inlineStr"/>
      <c r="R8" s="14" t="inlineStr"/>
    </row>
    <row r="9" ht="60" customHeight="1">
      <c r="A9" s="5" t="inlineStr">
        <is>
          <t>ENC</t>
        </is>
      </c>
      <c r="B9" s="5" t="inlineStr">
        <is>
          <t>Анкор (Encore-cafe)</t>
        </is>
      </c>
      <c r="C9" s="5" t="inlineStr">
        <is>
          <t>Отчётность: план-факт, БДР, главные отчёты, итоги</t>
        </is>
      </c>
      <c r="D9" s="5" t="inlineStr">
        <is>
          <t>N5</t>
        </is>
      </c>
      <c r="E9" s="5" t="inlineStr">
        <is>
          <t>Недельный БДР</t>
        </is>
      </c>
      <c r="F9" s="5" t="inlineStr">
        <is>
          <t>Недельный БДР: 3 строки ФОТ и себестоимость</t>
        </is>
      </c>
      <c r="G9" s="10" t="n">
        <v>2.7</v>
      </c>
      <c r="H9" s="10" t="n">
        <v>1</v>
      </c>
      <c r="I9" s="10" t="n">
        <v>0</v>
      </c>
      <c r="J9" s="10" t="n">
        <v>3.7</v>
      </c>
      <c r="K9" s="9" t="n">
        <v>0.1</v>
      </c>
      <c r="L9" s="10" t="n">
        <v>0.3700000000000001</v>
      </c>
      <c r="M9" s="10" t="n">
        <v>3.33</v>
      </c>
      <c r="N9" s="5" t="inlineStr">
        <is>
          <t>«Недельный БДР Октябрь», лист ФОТ (АУП, Кухня, Зал ENCORE), лист Encore-cafe</t>
        </is>
      </c>
      <c r="O9" s="5" t="inlineStr">
        <is>
          <t>T26 P&amp;L недели</t>
        </is>
      </c>
      <c r="P9" s="14" t="inlineStr"/>
      <c r="Q9" s="14" t="inlineStr"/>
      <c r="R9" s="14" t="inlineStr"/>
    </row>
    <row r="10" ht="60" customHeight="1">
      <c r="A10" s="5" t="inlineStr">
        <is>
          <t>ENC</t>
        </is>
      </c>
      <c r="B10" s="5" t="inlineStr">
        <is>
          <t>Анкор (Encore-cafe)</t>
        </is>
      </c>
      <c r="C10" s="5" t="inlineStr">
        <is>
          <t>Отчётность: план-факт, БДР, главные отчёты, итоги</t>
        </is>
      </c>
      <c r="D10" s="5" t="inlineStr">
        <is>
          <t>N6</t>
        </is>
      </c>
      <c r="E10" s="5" t="inlineStr">
        <is>
          <t>«Главные отчёты» объекта</t>
        </is>
      </c>
      <c r="F10" s="5" t="inlineStr">
        <is>
          <t>«Главные отчёты» Encore</t>
        </is>
      </c>
      <c r="G10" s="10" t="n">
        <v>0</v>
      </c>
      <c r="H10" s="10" t="n">
        <v>3</v>
      </c>
      <c r="I10" s="10" t="n">
        <v>0</v>
      </c>
      <c r="J10" s="10" t="n">
        <v>3</v>
      </c>
      <c r="K10" s="9" t="n">
        <v>0.05</v>
      </c>
      <c r="L10" s="10" t="n">
        <v>0.15</v>
      </c>
      <c r="M10" s="10" t="n">
        <v>2.85</v>
      </c>
      <c r="N10" s="5" t="inlineStr">
        <is>
          <t>«Encore главные отчеты» 20 КБ, динамика по гостям #REF!</t>
        </is>
      </c>
      <c r="O10" s="5" t="inlineStr">
        <is>
          <t>T06 месячная витрина</t>
        </is>
      </c>
      <c r="P10" s="14" t="inlineStr"/>
      <c r="Q10" s="14" t="inlineStr"/>
      <c r="R10" s="14" t="inlineStr"/>
    </row>
    <row r="11" ht="60" customHeight="1">
      <c r="A11" s="5" t="inlineStr">
        <is>
          <t>ENC</t>
        </is>
      </c>
      <c r="B11" s="5" t="inlineStr">
        <is>
          <t>Анкор (Encore-cafe)</t>
        </is>
      </c>
      <c r="C11" s="5" t="inlineStr">
        <is>
          <t>Отчётность: план-факт, БДР, главные отчёты, итоги</t>
        </is>
      </c>
      <c r="D11" s="5" t="inlineStr">
        <is>
          <t>N7</t>
        </is>
      </c>
      <c r="E11" s="5" t="inlineStr">
        <is>
          <t>Итоги месяца</t>
        </is>
      </c>
      <c r="F11" s="5" t="inlineStr">
        <is>
          <t>Итоги месяца (презентация)</t>
        </is>
      </c>
      <c r="G11" s="10" t="n">
        <v>0</v>
      </c>
      <c r="H11" s="10" t="n">
        <v>4</v>
      </c>
      <c r="I11" s="10" t="n">
        <v>0</v>
      </c>
      <c r="J11" s="10" t="n">
        <v>4</v>
      </c>
      <c r="K11" s="9" t="n">
        <v>0.25</v>
      </c>
      <c r="L11" s="10" t="n">
        <v>1</v>
      </c>
      <c r="M11" s="10" t="n">
        <v>3</v>
      </c>
      <c r="N11" s="5" t="inlineStr">
        <is>
          <t>«ENCORE-cafe-by-BREADWAY-4.pdf» в папке планёрок</t>
        </is>
      </c>
      <c r="O11" s="5" t="inlineStr">
        <is>
          <t>T33 итоги месяца</t>
        </is>
      </c>
      <c r="P11" s="14" t="inlineStr"/>
      <c r="Q11" s="14" t="inlineStr"/>
      <c r="R11" s="14" t="inlineStr"/>
    </row>
    <row r="12" ht="60" customHeight="1">
      <c r="A12" s="5" t="inlineStr">
        <is>
          <t>ENC</t>
        </is>
      </c>
      <c r="B12" s="5" t="inlineStr">
        <is>
          <t>Анкор (Encore-cafe)</t>
        </is>
      </c>
      <c r="C12" s="5" t="inlineStr">
        <is>
          <t>Смена: чек-листы, журналы, касса</t>
        </is>
      </c>
      <c r="D12" s="5" t="inlineStr">
        <is>
          <t>N9</t>
        </is>
      </c>
      <c r="E12" s="5" t="inlineStr">
        <is>
          <t>Чек-листы на бумаге и отчёты в чаты</t>
        </is>
      </c>
      <c r="F12" s="5" t="inlineStr">
        <is>
          <t>Чек-лист менеджера по часам (около 30 пунктов) и отчёты в 8 чатов трёх мессенджеров</t>
        </is>
      </c>
      <c r="G12" s="10" t="n">
        <v>0</v>
      </c>
      <c r="H12" s="10" t="n">
        <v>0</v>
      </c>
      <c r="I12" s="10" t="n">
        <v>22</v>
      </c>
      <c r="J12" s="10" t="n">
        <v>22</v>
      </c>
      <c r="K12" s="9" t="n">
        <v>0.33</v>
      </c>
      <c r="L12" s="10" t="n">
        <v>7.260000000000001</v>
      </c>
      <c r="M12" s="10" t="n">
        <v>14.74</v>
      </c>
      <c r="N12" s="5" t="inlineStr">
        <is>
          <t>«чек лист менеджера Анкор»: Telegram (5 чатов), Nextcloud Talk (3), WhatsApp (1)</t>
        </is>
      </c>
      <c r="O12" s="5" t="inlineStr">
        <is>
          <t>T04 чек-листы в Telegram, один канал</t>
        </is>
      </c>
      <c r="P12" s="14" t="inlineStr"/>
      <c r="Q12" s="14" t="inlineStr"/>
      <c r="R12" s="14" t="inlineStr"/>
    </row>
    <row r="13" ht="60" customHeight="1">
      <c r="A13" s="5" t="inlineStr">
        <is>
          <t>ENC</t>
        </is>
      </c>
      <c r="B13" s="5" t="inlineStr">
        <is>
          <t>Анкор (Encore-cafe)</t>
        </is>
      </c>
      <c r="C13" s="5" t="inlineStr">
        <is>
          <t>Смена: чек-листы, журналы, касса</t>
        </is>
      </c>
      <c r="D13" s="5" t="inlineStr">
        <is>
          <t>N9</t>
        </is>
      </c>
      <c r="E13" s="5" t="inlineStr">
        <is>
          <t>Чек-листы на бумаге и отчёты в чаты</t>
        </is>
      </c>
      <c r="F13" s="5" t="inlineStr">
        <is>
          <t>Чек-листы открытия, закрытия, генеральной уборки (6 файлов)</t>
        </is>
      </c>
      <c r="G13" s="10" t="n">
        <v>0</v>
      </c>
      <c r="H13" s="10" t="n">
        <v>0</v>
      </c>
      <c r="I13" s="10" t="n">
        <v>5</v>
      </c>
      <c r="J13" s="10" t="n">
        <v>5</v>
      </c>
      <c r="K13" s="9" t="n">
        <v>0.33</v>
      </c>
      <c r="L13" s="10" t="n">
        <v>1.65</v>
      </c>
      <c r="M13" s="10" t="n">
        <v>3.35</v>
      </c>
      <c r="N13" s="5" t="inlineStr">
        <is>
          <t>Encore/Чек-листы и Адаптация: открытие и закрытие 4 и 6 этаж, ген. уборка, закрытие официанта-бармена</t>
        </is>
      </c>
      <c r="O13" s="5" t="inlineStr">
        <is>
          <t>T04</t>
        </is>
      </c>
      <c r="P13" s="14" t="inlineStr"/>
      <c r="Q13" s="14" t="inlineStr"/>
      <c r="R13" s="14" t="inlineStr"/>
    </row>
    <row r="14" ht="60" customHeight="1">
      <c r="A14" s="5" t="inlineStr">
        <is>
          <t>ENC</t>
        </is>
      </c>
      <c r="B14" s="5" t="inlineStr">
        <is>
          <t>Анкор (Encore-cafe)</t>
        </is>
      </c>
      <c r="C14" s="5" t="inlineStr">
        <is>
          <t>Ревизии и потери</t>
        </is>
      </c>
      <c r="D14" s="5" t="inlineStr">
        <is>
          <t>N13</t>
        </is>
      </c>
      <c r="E14" s="5" t="inlineStr">
        <is>
          <t>Журнал проблем (ППР) и реестр отзывов</t>
        </is>
      </c>
      <c r="F14" s="5" t="inlineStr">
        <is>
          <t>ППР: журнал проблем с недельной статистикой возвратов</t>
        </is>
      </c>
      <c r="G14" s="10" t="n">
        <v>0</v>
      </c>
      <c r="H14" s="10" t="n">
        <v>3</v>
      </c>
      <c r="I14" s="10" t="n">
        <v>0</v>
      </c>
      <c r="J14" s="10" t="n">
        <v>3</v>
      </c>
      <c r="K14" s="9" t="n">
        <v>0.25</v>
      </c>
      <c r="L14" s="10" t="n">
        <v>0.75</v>
      </c>
      <c r="M14" s="10" t="n">
        <v>2.25</v>
      </c>
      <c r="N14" s="5" t="inlineStr">
        <is>
          <t>«ППР Анкор сентябрь»: лист ППР и лист «возвраты» по неделям</t>
        </is>
      </c>
      <c r="O14" s="5" t="inlineStr">
        <is>
          <t>T05 и T14 (удаления и возвраты из iiko автоматически)</t>
        </is>
      </c>
      <c r="P14" s="14" t="inlineStr"/>
      <c r="Q14" s="14" t="inlineStr"/>
      <c r="R14" s="14" t="inlineStr"/>
    </row>
    <row r="15" ht="60" customHeight="1">
      <c r="A15" s="5" t="inlineStr">
        <is>
          <t>ENC</t>
        </is>
      </c>
      <c r="B15" s="5" t="inlineStr">
        <is>
          <t>Анкор (Encore-cafe)</t>
        </is>
      </c>
      <c r="C15" s="5" t="inlineStr">
        <is>
          <t>Отчётность: план-факт, БДР, главные отчёты, итоги</t>
        </is>
      </c>
      <c r="D15" s="5" t="inlineStr">
        <is>
          <t>N14</t>
        </is>
      </c>
      <c r="E15" s="5" t="inlineStr">
        <is>
          <t>Дорожная карта месяца</t>
        </is>
      </c>
      <c r="F15" s="5" t="inlineStr">
        <is>
          <t>Дорожная карта месяца (листы «упр» и «шеф»)</t>
        </is>
      </c>
      <c r="G15" s="10" t="n">
        <v>0</v>
      </c>
      <c r="H15" s="10" t="n">
        <v>3</v>
      </c>
      <c r="I15" s="10" t="n">
        <v>0</v>
      </c>
      <c r="J15" s="10" t="n">
        <v>3</v>
      </c>
      <c r="K15" s="9" t="n">
        <v>0.3</v>
      </c>
      <c r="L15" s="10" t="n">
        <v>0.8999999999999999</v>
      </c>
      <c r="M15" s="10" t="n">
        <v>2.1</v>
      </c>
      <c r="N15" s="5" t="inlineStr">
        <is>
          <t>«дорожная карта encore СЕНТЯБРЬ26», июль, август; «Дорожная карта Анкор 2026» 660 КБ</t>
        </is>
      </c>
      <c r="O15" s="5" t="inlineStr">
        <is>
          <t>T24 обязательства (задачи Bitrix24)</t>
        </is>
      </c>
      <c r="P15" s="14" t="inlineStr"/>
      <c r="Q15" s="14" t="inlineStr"/>
      <c r="R15" s="14" t="inlineStr"/>
    </row>
    <row r="16" ht="60" customHeight="1">
      <c r="A16" s="5" t="inlineStr">
        <is>
          <t>ENC</t>
        </is>
      </c>
      <c r="B16" s="5" t="inlineStr">
        <is>
          <t>Анкор (Encore-cafe)</t>
        </is>
      </c>
      <c r="C16" s="5" t="inlineStr">
        <is>
          <t>Ревизии и потери</t>
        </is>
      </c>
      <c r="D16" s="5" t="inlineStr">
        <is>
          <t>N15</t>
        </is>
      </c>
      <c r="E16" s="5" t="inlineStr">
        <is>
          <t>ABC-анализ вручную</t>
        </is>
      </c>
      <c r="F16" s="5" t="inlineStr">
        <is>
          <t>ABC/XYZ-анализ блюд, завтраков и стаффа вручную (4 файла в месяц)</t>
        </is>
      </c>
      <c r="G16" s="10" t="n">
        <v>0</v>
      </c>
      <c r="H16" s="10" t="n">
        <v>4</v>
      </c>
      <c r="I16" s="10" t="n">
        <v>0</v>
      </c>
      <c r="J16" s="10" t="n">
        <v>4</v>
      </c>
      <c r="K16" s="9" t="n">
        <v>0.1</v>
      </c>
      <c r="L16" s="10" t="n">
        <v>0.4</v>
      </c>
      <c r="M16" s="10" t="n">
        <v>3.6</v>
      </c>
      <c r="N16" s="5" t="inlineStr">
        <is>
          <t>«ABC меню ежемесячный/сентябрь26»: 4 файла от 12.10</t>
        </is>
      </c>
      <c r="O16" s="5" t="inlineStr">
        <is>
          <t>T12 меню-инжиниринг (из снимка iiko)</t>
        </is>
      </c>
      <c r="P16" s="14" t="inlineStr"/>
      <c r="Q16" s="14" t="inlineStr"/>
      <c r="R16" s="14" t="inlineStr"/>
    </row>
    <row r="17" ht="60" customHeight="1">
      <c r="A17" s="5" t="inlineStr">
        <is>
          <t>ENC</t>
        </is>
      </c>
      <c r="B17" s="5" t="inlineStr">
        <is>
          <t>Анкор (Encore-cafe)</t>
        </is>
      </c>
      <c r="C17" s="5" t="inlineStr">
        <is>
          <t>Смена: чек-листы, журналы, касса</t>
        </is>
      </c>
      <c r="D17" s="5" t="inlineStr">
        <is>
          <t>N18</t>
        </is>
      </c>
      <c r="E17" s="5" t="inlineStr">
        <is>
          <t>Развоз и рационы</t>
        </is>
      </c>
      <c r="F17" s="5" t="inlineStr">
        <is>
          <t>Журнал развоза и рационов</t>
        </is>
      </c>
      <c r="G17" s="10" t="n">
        <v>0</v>
      </c>
      <c r="H17" s="10" t="n">
        <v>0</v>
      </c>
      <c r="I17" s="10" t="n">
        <v>5</v>
      </c>
      <c r="J17" s="10" t="n">
        <v>5</v>
      </c>
      <c r="K17" s="9" t="n">
        <v>0.1</v>
      </c>
      <c r="L17" s="10" t="n">
        <v>0.5</v>
      </c>
      <c r="M17" s="10" t="n">
        <v>4.5</v>
      </c>
      <c r="N17" s="5" t="inlineStr">
        <is>
          <t>«РАЗВОЗ_РАЦИОНЫ АНКОР» 2,2 МБ: суммы развоза по дням, рационы по гостям</t>
        </is>
      </c>
      <c r="O17" s="5" t="inlineStr">
        <is>
          <t>T27 и T28 (рационы как заказы)</t>
        </is>
      </c>
      <c r="P17" s="14" t="inlineStr"/>
      <c r="Q17" s="14" t="inlineStr"/>
      <c r="R17" s="14" t="inlineStr"/>
    </row>
    <row r="18" ht="60" customHeight="1">
      <c r="A18" s="5" t="inlineStr">
        <is>
          <t>ENC</t>
        </is>
      </c>
      <c r="B18" s="5" t="inlineStr">
        <is>
          <t>Анкор (Encore-cafe)</t>
        </is>
      </c>
      <c r="C18" s="5" t="inlineStr">
        <is>
          <t>Ревизии и потери</t>
        </is>
      </c>
      <c r="D18" s="5" t="inlineStr">
        <is>
          <t>N19</t>
        </is>
      </c>
      <c r="E18" s="5" t="inlineStr">
        <is>
          <t>Ревизии: защитный файл</t>
        </is>
      </c>
      <c r="F18" s="5" t="inlineStr">
        <is>
          <t>Ревизия бара: защитный файл и меры</t>
        </is>
      </c>
      <c r="G18" s="10" t="n">
        <v>0</v>
      </c>
      <c r="H18" s="10" t="n">
        <v>2</v>
      </c>
      <c r="I18" s="10" t="n">
        <v>0</v>
      </c>
      <c r="J18" s="10" t="n">
        <v>2</v>
      </c>
      <c r="K18" s="9" t="n">
        <v>0.35</v>
      </c>
      <c r="L18" s="10" t="n">
        <v>0.7</v>
      </c>
      <c r="M18" s="10" t="n">
        <v>1.3</v>
      </c>
      <c r="N18" s="5" t="inlineStr">
        <is>
          <t>«GC Ревизии»: Бар ENC ежемесячно</t>
        </is>
      </c>
      <c r="O18" s="5" t="inlineStr">
        <is>
          <t>T13 инвентаризация-помощник</t>
        </is>
      </c>
      <c r="P18" s="14" t="inlineStr"/>
      <c r="Q18" s="14" t="inlineStr"/>
      <c r="R18" s="14" t="inlineStr"/>
    </row>
    <row r="19" ht="60" customHeight="1">
      <c r="A19" s="5" t="inlineStr">
        <is>
          <t>ENC</t>
        </is>
      </c>
      <c r="B19" s="5" t="inlineStr">
        <is>
          <t>Анкор (Encore-cafe)</t>
        </is>
      </c>
      <c r="C19" s="5" t="inlineStr">
        <is>
          <t>Снабжение и заявки</t>
        </is>
      </c>
      <c r="D19" s="5" t="inlineStr">
        <is>
          <t>N20</t>
        </is>
      </c>
      <c r="E19" s="5" t="inlineStr">
        <is>
          <t>Заявки снабжению и перемещения вне панели</t>
        </is>
      </c>
      <c r="F19" s="5" t="inlineStr">
        <is>
          <t>Заявки и перемещения в четырёх чатах (овощи, молоко, смузи, хозтовары)</t>
        </is>
      </c>
      <c r="G19" s="10" t="n">
        <v>0</v>
      </c>
      <c r="H19" s="10" t="n">
        <v>0</v>
      </c>
      <c r="I19" s="10" t="n">
        <v>5</v>
      </c>
      <c r="J19" s="10" t="n">
        <v>5</v>
      </c>
      <c r="K19" s="9" t="n">
        <v>0.3</v>
      </c>
      <c r="L19" s="10" t="n">
        <v>1.5</v>
      </c>
      <c r="M19" s="10" t="n">
        <v>3.5</v>
      </c>
      <c r="N19" s="5" t="inlineStr">
        <is>
          <t>Чек-лист менеджера: «заявки башня на кухню», «Перемещения», «Анкор-брэдвей перемещение», «GC Склад и грузчики»</t>
        </is>
      </c>
      <c r="O19" s="5" t="inlineStr">
        <is>
          <t>T28 панель снабжения</t>
        </is>
      </c>
      <c r="P19" s="14" t="inlineStr"/>
      <c r="Q19" s="14" t="inlineStr"/>
      <c r="R19" s="14" t="inlineStr"/>
    </row>
    <row r="20" ht="60" customHeight="1">
      <c r="A20" s="5" t="inlineStr">
        <is>
          <t>ENC</t>
        </is>
      </c>
      <c r="B20" s="5" t="inlineStr">
        <is>
          <t>Анкор (Encore-cafe)</t>
        </is>
      </c>
      <c r="C20" s="5" t="inlineStr">
        <is>
          <t>Смена: чек-листы, журналы, касса</t>
        </is>
      </c>
      <c r="D20" s="5" t="inlineStr">
        <is>
          <t>N21</t>
        </is>
      </c>
      <c r="E20" s="5" t="inlineStr">
        <is>
          <t>Кассовые отчёты и инкассация вручную</t>
        </is>
      </c>
      <c r="F20" s="5" t="inlineStr">
        <is>
          <t>Кассовые отчёты: РКО, отчёты 048, объяснительные, фото в чаты «рко» и «выручка»</t>
        </is>
      </c>
      <c r="G20" s="10" t="n">
        <v>0</v>
      </c>
      <c r="H20" s="10" t="n">
        <v>0</v>
      </c>
      <c r="I20" s="10" t="n">
        <v>10</v>
      </c>
      <c r="J20" s="10" t="n">
        <v>10</v>
      </c>
      <c r="K20" s="9" t="n">
        <v>0.3</v>
      </c>
      <c r="L20" s="10" t="n">
        <v>3</v>
      </c>
      <c r="M20" s="10" t="n">
        <v>7</v>
      </c>
      <c r="N20" s="5" t="inlineStr">
        <is>
          <t>Чек-лист менеджера 20:30–22:00</t>
        </is>
      </c>
      <c r="O20" s="5" t="inlineStr">
        <is>
          <t>T05 (кассовые смены из iiko) и бот с фото</t>
        </is>
      </c>
      <c r="P20" s="14" t="inlineStr"/>
      <c r="Q20" s="14" t="inlineStr"/>
      <c r="R20" s="14" t="inlineStr"/>
    </row>
    <row r="21" ht="60" customHeight="1">
      <c r="A21" s="5" t="inlineStr">
        <is>
          <t>ENC</t>
        </is>
      </c>
      <c r="B21" s="5" t="inlineStr">
        <is>
          <t>Анкор (Encore-cafe)</t>
        </is>
      </c>
      <c r="C21" s="5" t="inlineStr">
        <is>
          <t>Снабжение и заявки</t>
        </is>
      </c>
      <c r="D21" s="5" t="inlineStr">
        <is>
          <t>N10</t>
        </is>
      </c>
      <c r="E21" s="5" t="inlineStr">
        <is>
          <t>Бюджет хозтоваров и упаковки</t>
        </is>
      </c>
      <c r="F21" s="5" t="inlineStr">
        <is>
          <t>Бюджет хозтоваров (доля в файле «Хозтовары Исеть»)</t>
        </is>
      </c>
      <c r="G21" s="10" t="n">
        <v>1</v>
      </c>
      <c r="H21" s="10" t="n">
        <v>0</v>
      </c>
      <c r="I21" s="10" t="n">
        <v>0</v>
      </c>
      <c r="J21" s="10" t="n">
        <v>1</v>
      </c>
      <c r="K21" s="9" t="n">
        <v>0.3</v>
      </c>
      <c r="L21" s="10" t="n">
        <v>0.3</v>
      </c>
      <c r="M21" s="10" t="n">
        <v>0.7</v>
      </c>
      <c r="N21" s="5" t="inlineStr">
        <is>
          <t>«Хозтовары Исеть», лист Октябрь 26: столбец Encore</t>
        </is>
      </c>
      <c r="O21" s="5" t="inlineStr">
        <is>
          <t>T28</t>
        </is>
      </c>
      <c r="P21" s="14" t="inlineStr"/>
      <c r="Q21" s="14" t="inlineStr"/>
      <c r="R21" s="14" t="inlineStr"/>
    </row>
    <row r="22" ht="60" customHeight="1">
      <c r="A22" s="5" t="inlineStr">
        <is>
          <t>KOR</t>
        </is>
      </c>
      <c r="B22" s="5" t="inlineStr">
        <is>
          <t>Корнеры «Главного» (3 точки)</t>
        </is>
      </c>
      <c r="C22" s="5" t="inlineStr">
        <is>
          <t>Табель и свод ФОТ</t>
        </is>
      </c>
      <c r="D22" s="5" t="inlineStr">
        <is>
          <t>N1</t>
        </is>
      </c>
      <c r="E22" s="5" t="inlineStr">
        <is>
          <t>Табель: ввод часов</t>
        </is>
      </c>
      <c r="F22" s="5" t="inlineStr">
        <is>
          <t>Табель трёх точек в одном файле 11 МБ</t>
        </is>
      </c>
      <c r="G22" s="10" t="n">
        <v>0</v>
      </c>
      <c r="H22" s="10" t="n">
        <v>15.5</v>
      </c>
      <c r="I22" s="10" t="n">
        <v>0</v>
      </c>
      <c r="J22" s="10" t="n">
        <v>15.5</v>
      </c>
      <c r="K22" s="9" t="n">
        <v>0.4</v>
      </c>
      <c r="L22" s="10" t="n">
        <v>6.2</v>
      </c>
      <c r="M22" s="10" t="n">
        <v>9.299999999999999</v>
      </c>
      <c r="N22" s="5" t="inlineStr">
        <is>
          <t>«ФОТ КОРНЕРЫ В битрикс» 11 МБ, обновлён 06.10; из облака не читается за 60 с</t>
        </is>
      </c>
      <c r="O22" s="5" t="inlineStr">
        <is>
          <t>T32</t>
        </is>
      </c>
      <c r="P22" s="14" t="inlineStr"/>
      <c r="Q22" s="14" t="inlineStr"/>
      <c r="R22" s="14" t="inlineStr"/>
    </row>
    <row r="23" ht="60" customHeight="1">
      <c r="A23" s="5" t="inlineStr">
        <is>
          <t>KOR</t>
        </is>
      </c>
      <c r="B23" s="5" t="inlineStr">
        <is>
          <t>Корнеры «Главного» (3 точки)</t>
        </is>
      </c>
      <c r="C23" s="5" t="inlineStr">
        <is>
          <t>План смен и графики</t>
        </is>
      </c>
      <c r="D23" s="5" t="inlineStr">
        <is>
          <t>N2</t>
        </is>
      </c>
      <c r="E23" s="5" t="inlineStr">
        <is>
          <t>Штатное расписание</t>
        </is>
      </c>
      <c r="F23" s="5" t="inlineStr">
        <is>
          <t>Штатные расписания в файлах «БДР + ШР + РЕНТ»</t>
        </is>
      </c>
      <c r="G23" s="10" t="n">
        <v>0</v>
      </c>
      <c r="H23" s="10" t="n">
        <v>6</v>
      </c>
      <c r="I23" s="10" t="n">
        <v>0</v>
      </c>
      <c r="J23" s="10" t="n">
        <v>6</v>
      </c>
      <c r="K23" s="9" t="n">
        <v>0.35</v>
      </c>
      <c r="L23" s="10" t="n">
        <v>2.1</v>
      </c>
      <c r="M23" s="10" t="n">
        <v>3.9</v>
      </c>
      <c r="N23" s="5" t="inlineStr">
        <is>
          <t>Корнеры/ОСНОВНЫЕ ОТЧЕТЫ: «БДР + ШР+РЕНТ Грузинка», «БДР ШР Планы Август»</t>
        </is>
      </c>
      <c r="O23" s="5" t="inlineStr">
        <is>
          <t>T02</t>
        </is>
      </c>
      <c r="P23" s="14" t="inlineStr"/>
      <c r="Q23" s="14" t="inlineStr"/>
      <c r="R23" s="14" t="inlineStr"/>
    </row>
    <row r="24" ht="60" customHeight="1">
      <c r="A24" s="5" t="inlineStr">
        <is>
          <t>KOR</t>
        </is>
      </c>
      <c r="B24" s="5" t="inlineStr">
        <is>
          <t>Корнеры «Главного» (3 точки)</t>
        </is>
      </c>
      <c r="C24" s="5" t="inlineStr">
        <is>
          <t>Отчётность: план-факт, БДР, главные отчёты, итоги</t>
        </is>
      </c>
      <c r="D24" s="5" t="inlineStr">
        <is>
          <t>N4</t>
        </is>
      </c>
      <c r="E24" s="5" t="inlineStr">
        <is>
          <t>План-факт по дням</t>
        </is>
      </c>
      <c r="F24" s="5" t="inlineStr">
        <is>
          <t>План-факт по дням (3 строки центрального ввода)</t>
        </is>
      </c>
      <c r="G24" s="10" t="n">
        <v>4.5</v>
      </c>
      <c r="H24" s="10" t="n">
        <v>0</v>
      </c>
      <c r="I24" s="10" t="n">
        <v>0</v>
      </c>
      <c r="J24" s="10" t="n">
        <v>4.5</v>
      </c>
      <c r="K24" s="9" t="n">
        <v>0.05</v>
      </c>
      <c r="L24" s="10" t="n">
        <v>0.225</v>
      </c>
      <c r="M24" s="10" t="n">
        <v>4.274999999999999</v>
      </c>
      <c r="N24" s="5" t="inlineStr">
        <is>
          <t>«ПЛАН ФАКТ GC», лист Корнеры: Bw, GR, KR по дням</t>
        </is>
      </c>
      <c r="O24" s="5" t="inlineStr">
        <is>
          <t>T06</t>
        </is>
      </c>
      <c r="P24" s="14" t="inlineStr"/>
      <c r="Q24" s="14" t="inlineStr"/>
      <c r="R24" s="14" t="inlineStr"/>
    </row>
    <row r="25" ht="60" customHeight="1">
      <c r="A25" s="5" t="inlineStr">
        <is>
          <t>KOR</t>
        </is>
      </c>
      <c r="B25" s="5" t="inlineStr">
        <is>
          <t>Корнеры «Главного» (3 точки)</t>
        </is>
      </c>
      <c r="C25" s="5" t="inlineStr">
        <is>
          <t>Отчётность: план-факт, БДР, главные отчёты, итоги</t>
        </is>
      </c>
      <c r="D25" s="5" t="inlineStr">
        <is>
          <t>N5</t>
        </is>
      </c>
      <c r="E25" s="5" t="inlineStr">
        <is>
          <t>Недельный БДР</t>
        </is>
      </c>
      <c r="F25" s="5" t="inlineStr">
        <is>
          <t>Собственный недельный БДР корнеров (11 файлов)</t>
        </is>
      </c>
      <c r="G25" s="10" t="n">
        <v>6</v>
      </c>
      <c r="H25" s="10" t="n">
        <v>2</v>
      </c>
      <c r="I25" s="10" t="n">
        <v>0</v>
      </c>
      <c r="J25" s="10" t="n">
        <v>8</v>
      </c>
      <c r="K25" s="9" t="n">
        <v>0.1</v>
      </c>
      <c r="L25" s="10" t="n">
        <v>0.8</v>
      </c>
      <c r="M25" s="10" t="n">
        <v>7.2</v>
      </c>
      <c r="N25" s="5" t="inlineStr">
        <is>
          <t>«БДР Корнеры Октябрь», «БДР Сентябрь» … «БДР январь 2026»</t>
        </is>
      </c>
      <c r="O25" s="5" t="inlineStr">
        <is>
          <t>T26</t>
        </is>
      </c>
      <c r="P25" s="14" t="inlineStr"/>
      <c r="Q25" s="14" t="inlineStr"/>
      <c r="R25" s="14" t="inlineStr"/>
    </row>
    <row r="26" ht="60" customHeight="1">
      <c r="A26" s="5" t="inlineStr">
        <is>
          <t>KOR</t>
        </is>
      </c>
      <c r="B26" s="5" t="inlineStr">
        <is>
          <t>Корнеры «Главного» (3 точки)</t>
        </is>
      </c>
      <c r="C26" s="5" t="inlineStr">
        <is>
          <t>Отчётность: план-факт, БДР, главные отчёты, итоги</t>
        </is>
      </c>
      <c r="D26" s="5" t="inlineStr">
        <is>
          <t>N6</t>
        </is>
      </c>
      <c r="E26" s="5" t="inlineStr">
        <is>
          <t>«Главные отчёты» объекта</t>
        </is>
      </c>
      <c r="F26" s="5" t="inlineStr">
        <is>
          <t>«Главные отчёты» корнеров (две копии)</t>
        </is>
      </c>
      <c r="G26" s="10" t="n">
        <v>0</v>
      </c>
      <c r="H26" s="10" t="n">
        <v>3</v>
      </c>
      <c r="I26" s="10" t="n">
        <v>0</v>
      </c>
      <c r="J26" s="10" t="n">
        <v>3</v>
      </c>
      <c r="K26" s="9" t="n">
        <v>0.05</v>
      </c>
      <c r="L26" s="10" t="n">
        <v>0.15</v>
      </c>
      <c r="M26" s="10" t="n">
        <v>2.85</v>
      </c>
      <c r="N26" s="5" t="inlineStr">
        <is>
          <t>«Корнеры ГЛАВНЫЕ ОТЧЕТЫ» в двух папках: гостевой BW, Грузинка, Курум</t>
        </is>
      </c>
      <c r="O26" s="5" t="inlineStr">
        <is>
          <t>T06</t>
        </is>
      </c>
      <c r="P26" s="14" t="inlineStr"/>
      <c r="Q26" s="14" t="inlineStr"/>
      <c r="R26" s="14" t="inlineStr"/>
    </row>
    <row r="27" ht="60" customHeight="1">
      <c r="A27" s="5" t="inlineStr">
        <is>
          <t>KOR</t>
        </is>
      </c>
      <c r="B27" s="5" t="inlineStr">
        <is>
          <t>Корнеры «Главного» (3 точки)</t>
        </is>
      </c>
      <c r="C27" s="5" t="inlineStr">
        <is>
          <t>Отчётность: план-факт, БДР, главные отчёты, итоги</t>
        </is>
      </c>
      <c r="D27" s="5" t="inlineStr">
        <is>
          <t>N7</t>
        </is>
      </c>
      <c r="E27" s="5" t="inlineStr">
        <is>
          <t>Итоги месяца</t>
        </is>
      </c>
      <c r="F27" s="5" t="inlineStr">
        <is>
          <t>Итоги месяца (презентация и маркетинг)</t>
        </is>
      </c>
      <c r="G27" s="10" t="n">
        <v>0</v>
      </c>
      <c r="H27" s="10" t="n">
        <v>4</v>
      </c>
      <c r="I27" s="10" t="n">
        <v>0</v>
      </c>
      <c r="J27" s="10" t="n">
        <v>4</v>
      </c>
      <c r="K27" s="9" t="n">
        <v>0.25</v>
      </c>
      <c r="L27" s="10" t="n">
        <v>1</v>
      </c>
      <c r="M27" s="10" t="n">
        <v>3</v>
      </c>
      <c r="N27" s="5" t="inlineStr">
        <is>
          <t>«Корнеры презентация Сентябрь 2026», «МАРКЕТИНГ_КОРНЕРЫ_СЕНТЯБРЬ’26»</t>
        </is>
      </c>
      <c r="O27" s="5" t="inlineStr">
        <is>
          <t>T33</t>
        </is>
      </c>
      <c r="P27" s="14" t="inlineStr"/>
      <c r="Q27" s="14" t="inlineStr"/>
      <c r="R27" s="14" t="inlineStr"/>
    </row>
    <row r="28" ht="60" customHeight="1">
      <c r="A28" s="5" t="inlineStr">
        <is>
          <t>KOR</t>
        </is>
      </c>
      <c r="B28" s="5" t="inlineStr">
        <is>
          <t>Корнеры «Главного» (3 точки)</t>
        </is>
      </c>
      <c r="C28" s="5" t="inlineStr">
        <is>
          <t>Смена: чек-листы, журналы, касса</t>
        </is>
      </c>
      <c r="D28" s="5" t="inlineStr">
        <is>
          <t>N9</t>
        </is>
      </c>
      <c r="E28" s="5" t="inlineStr">
        <is>
          <t>Чек-листы на бумаге и отчёты в чаты</t>
        </is>
      </c>
      <c r="F28" s="5" t="inlineStr">
        <is>
          <t>Чек-листы открытия и закрытия на бумаге на трёх точках</t>
        </is>
      </c>
      <c r="G28" s="10" t="n">
        <v>0</v>
      </c>
      <c r="H28" s="10" t="n">
        <v>0</v>
      </c>
      <c r="I28" s="10" t="n">
        <v>30</v>
      </c>
      <c r="J28" s="10" t="n">
        <v>30</v>
      </c>
      <c r="K28" s="9" t="n">
        <v>0.33</v>
      </c>
      <c r="L28" s="10" t="n">
        <v>9.9</v>
      </c>
      <c r="M28" s="10" t="n">
        <v>20.1</v>
      </c>
      <c r="N28" s="5" t="inlineStr">
        <is>
          <t>«КОРНЕРЫ ЧЕК ЛИСТЫ»: ГРУЗИЯ ОТКРЫТИЕ и другие листы с фотоотчётом</t>
        </is>
      </c>
      <c r="O28" s="5" t="inlineStr">
        <is>
          <t>T04</t>
        </is>
      </c>
      <c r="P28" s="14" t="inlineStr"/>
      <c r="Q28" s="14" t="inlineStr"/>
      <c r="R28" s="14" t="inlineStr"/>
    </row>
    <row r="29" ht="60" customHeight="1">
      <c r="A29" s="5" t="inlineStr">
        <is>
          <t>KOR</t>
        </is>
      </c>
      <c r="B29" s="5" t="inlineStr">
        <is>
          <t>Корнеры «Главного» (3 точки)</t>
        </is>
      </c>
      <c r="C29" s="5" t="inlineStr">
        <is>
          <t>Смена: чек-листы, журналы, касса</t>
        </is>
      </c>
      <c r="D29" s="5" t="inlineStr">
        <is>
          <t>N21</t>
        </is>
      </c>
      <c r="E29" s="5" t="inlineStr">
        <is>
          <t>Кассовые отчёты и инкассация вручную</t>
        </is>
      </c>
      <c r="F29" s="5" t="inlineStr">
        <is>
          <t>Покупюрный бланк и кассовые отчёты на трёх точках</t>
        </is>
      </c>
      <c r="G29" s="10" t="n">
        <v>0</v>
      </c>
      <c r="H29" s="10" t="n">
        <v>0</v>
      </c>
      <c r="I29" s="10" t="n">
        <v>15</v>
      </c>
      <c r="J29" s="10" t="n">
        <v>15</v>
      </c>
      <c r="K29" s="9" t="n">
        <v>0.3</v>
      </c>
      <c r="L29" s="10" t="n">
        <v>4.5</v>
      </c>
      <c r="M29" s="10" t="n">
        <v>10.5</v>
      </c>
      <c r="N29" s="5" t="inlineStr">
        <is>
          <t>«покупюр БВГРКР», «rko-blank», «Инструкция по закрытию кассовой смены»</t>
        </is>
      </c>
      <c r="O29" s="5" t="inlineStr">
        <is>
          <t>T05</t>
        </is>
      </c>
      <c r="P29" s="14" t="inlineStr"/>
      <c r="Q29" s="14" t="inlineStr"/>
      <c r="R29" s="14" t="inlineStr"/>
    </row>
    <row r="30" ht="60" customHeight="1">
      <c r="A30" s="5" t="inlineStr">
        <is>
          <t>KOR</t>
        </is>
      </c>
      <c r="B30" s="5" t="inlineStr">
        <is>
          <t>Корнеры «Главного» (3 точки)</t>
        </is>
      </c>
      <c r="C30" s="5" t="inlineStr">
        <is>
          <t>Снабжение и заявки</t>
        </is>
      </c>
      <c r="D30" s="5" t="inlineStr">
        <is>
          <t>N10</t>
        </is>
      </c>
      <c r="E30" s="5" t="inlineStr">
        <is>
          <t>Бюджет хозтоваров и упаковки</t>
        </is>
      </c>
      <c r="F30" s="5" t="inlineStr">
        <is>
          <t>Контроль бюджета хозтоваров корнеров</t>
        </is>
      </c>
      <c r="G30" s="10" t="n">
        <v>4</v>
      </c>
      <c r="H30" s="10" t="n">
        <v>0</v>
      </c>
      <c r="I30" s="10" t="n">
        <v>0</v>
      </c>
      <c r="J30" s="10" t="n">
        <v>4</v>
      </c>
      <c r="K30" s="9" t="n">
        <v>0.3</v>
      </c>
      <c r="L30" s="10" t="n">
        <v>1.2</v>
      </c>
      <c r="M30" s="10" t="n">
        <v>2.8</v>
      </c>
      <c r="N30" s="5" t="inlineStr">
        <is>
          <t>«Контроль бюджета хозтоваров и упаковки Корнеры», обновлён 13.10</t>
        </is>
      </c>
      <c r="O30" s="5" t="inlineStr">
        <is>
          <t>T28</t>
        </is>
      </c>
      <c r="P30" s="14" t="inlineStr"/>
      <c r="Q30" s="14" t="inlineStr"/>
      <c r="R30" s="14" t="inlineStr"/>
    </row>
    <row r="31" ht="60" customHeight="1">
      <c r="A31" s="5" t="inlineStr">
        <is>
          <t>KOR</t>
        </is>
      </c>
      <c r="B31" s="5" t="inlineStr">
        <is>
          <t>Корнеры «Главного» (3 точки)</t>
        </is>
      </c>
      <c r="C31" s="5" t="inlineStr">
        <is>
          <t>Снабжение и заявки</t>
        </is>
      </c>
      <c r="D31" s="5" t="inlineStr">
        <is>
          <t>N20</t>
        </is>
      </c>
      <c r="E31" s="5" t="inlineStr">
        <is>
          <t>Заявки снабжению и перемещения вне панели</t>
        </is>
      </c>
      <c r="F31" s="5" t="inlineStr">
        <is>
          <t>Заявки корнеров снабжению</t>
        </is>
      </c>
      <c r="G31" s="10" t="n">
        <v>0</v>
      </c>
      <c r="H31" s="10" t="n">
        <v>0</v>
      </c>
      <c r="I31" s="10" t="n">
        <v>15</v>
      </c>
      <c r="J31" s="10" t="n">
        <v>15</v>
      </c>
      <c r="K31" s="9" t="n">
        <v>0.3</v>
      </c>
      <c r="L31" s="10" t="n">
        <v>4.5</v>
      </c>
      <c r="M31" s="10" t="n">
        <v>10.5</v>
      </c>
      <c r="N31" s="5" t="inlineStr">
        <is>
          <t>«Заявки Корнеров.xlsx» (Снабжение корнеры)</t>
        </is>
      </c>
      <c r="O31" s="5" t="inlineStr">
        <is>
          <t>T28</t>
        </is>
      </c>
      <c r="P31" s="14" t="inlineStr"/>
      <c r="Q31" s="14" t="inlineStr"/>
      <c r="R31" s="14" t="inlineStr"/>
    </row>
    <row r="32" ht="60" customHeight="1">
      <c r="A32" s="5" t="inlineStr">
        <is>
          <t>KOR</t>
        </is>
      </c>
      <c r="B32" s="5" t="inlineStr">
        <is>
          <t>Корнеры «Главного» (3 точки)</t>
        </is>
      </c>
      <c r="C32" s="5" t="inlineStr">
        <is>
          <t>Ревизии и потери</t>
        </is>
      </c>
      <c r="D32" s="5" t="inlineStr">
        <is>
          <t>N15</t>
        </is>
      </c>
      <c r="E32" s="5" t="inlineStr">
        <is>
          <t>ABC-анализ вручную</t>
        </is>
      </c>
      <c r="F32" s="5" t="inlineStr">
        <is>
          <t>ABC-анализ вручную (три файла)</t>
        </is>
      </c>
      <c r="G32" s="10" t="n">
        <v>0</v>
      </c>
      <c r="H32" s="10" t="n">
        <v>2</v>
      </c>
      <c r="I32" s="10" t="n">
        <v>0</v>
      </c>
      <c r="J32" s="10" t="n">
        <v>2</v>
      </c>
      <c r="K32" s="9" t="n">
        <v>0.1</v>
      </c>
      <c r="L32" s="10" t="n">
        <v>0.2</v>
      </c>
      <c r="M32" s="10" t="n">
        <v>1.8</v>
      </c>
      <c r="N32" s="5" t="inlineStr">
        <is>
          <t>«ABC 2026», «ABC Брадвей», «ABC курум бар»</t>
        </is>
      </c>
      <c r="O32" s="5" t="inlineStr">
        <is>
          <t>T12</t>
        </is>
      </c>
      <c r="P32" s="14" t="inlineStr"/>
      <c r="Q32" s="14" t="inlineStr"/>
      <c r="R32" s="14" t="inlineStr"/>
    </row>
    <row r="33" ht="60" customHeight="1">
      <c r="A33" s="5" t="inlineStr">
        <is>
          <t>KOR</t>
        </is>
      </c>
      <c r="B33" s="5" t="inlineStr">
        <is>
          <t>Корнеры «Главного» (3 точки)</t>
        </is>
      </c>
      <c r="C33" s="5" t="inlineStr">
        <is>
          <t>Ревизии и потери</t>
        </is>
      </c>
      <c r="D33" s="5" t="inlineStr">
        <is>
          <t>N19</t>
        </is>
      </c>
      <c r="E33" s="5" t="inlineStr">
        <is>
          <t>Ревизии: защитный файл</t>
        </is>
      </c>
      <c r="F33" s="5" t="inlineStr">
        <is>
          <t>Ревизии: 3 бара и 2 кухни, защитные файлы</t>
        </is>
      </c>
      <c r="G33" s="10" t="n">
        <v>0</v>
      </c>
      <c r="H33" s="10" t="n">
        <v>10</v>
      </c>
      <c r="I33" s="10" t="n">
        <v>0</v>
      </c>
      <c r="J33" s="10" t="n">
        <v>10</v>
      </c>
      <c r="K33" s="9" t="n">
        <v>0.35</v>
      </c>
      <c r="L33" s="10" t="n">
        <v>3.5</v>
      </c>
      <c r="M33" s="10" t="n">
        <v>6.5</v>
      </c>
      <c r="N33" s="5" t="inlineStr">
        <is>
          <t>«GC Ревизии»: Бар Kurum, Бар BW, Бар Грузинка, Кухня BW, Кухня Грузинка</t>
        </is>
      </c>
      <c r="O33" s="5" t="inlineStr">
        <is>
          <t>T13</t>
        </is>
      </c>
      <c r="P33" s="14" t="inlineStr"/>
      <c r="Q33" s="14" t="inlineStr"/>
      <c r="R33" s="14" t="inlineStr"/>
    </row>
    <row r="34" ht="60" customHeight="1">
      <c r="A34" s="5" t="inlineStr">
        <is>
          <t>KOR</t>
        </is>
      </c>
      <c r="B34" s="5" t="inlineStr">
        <is>
          <t>Корнеры «Главного» (3 точки)</t>
        </is>
      </c>
      <c r="C34" s="5" t="inlineStr">
        <is>
          <t>Отчётность: план-факт, БДР, главные отчёты, итоги</t>
        </is>
      </c>
      <c r="D34" s="5" t="inlineStr">
        <is>
          <t>N6</t>
        </is>
      </c>
      <c r="E34" s="5" t="inlineStr">
        <is>
          <t>«Главные отчёты» объекта</t>
        </is>
      </c>
      <c r="F34" s="5" t="inlineStr">
        <is>
          <t>Конкурентные анализы и просчёты процентов по категориям</t>
        </is>
      </c>
      <c r="G34" s="10" t="n">
        <v>0</v>
      </c>
      <c r="H34" s="10" t="n">
        <v>1</v>
      </c>
      <c r="I34" s="10" t="n">
        <v>0</v>
      </c>
      <c r="J34" s="10" t="n">
        <v>1</v>
      </c>
      <c r="K34" s="9" t="n">
        <v>0.5</v>
      </c>
      <c r="L34" s="10" t="n">
        <v>0.5</v>
      </c>
      <c r="M34" s="10" t="n">
        <v>0.5</v>
      </c>
      <c r="N34" s="5" t="inlineStr">
        <is>
          <t>«Бары/Завтраки — Конкурентный анализ», «Просчет процентов по категориям меню Грузинка»</t>
        </is>
      </c>
      <c r="O34" s="5" t="inlineStr">
        <is>
          <t>Комната 11</t>
        </is>
      </c>
      <c r="P34" s="14" t="inlineStr"/>
      <c r="Q34" s="14" t="inlineStr"/>
      <c r="R34" s="14" t="inlineStr"/>
    </row>
    <row r="35" ht="60" customHeight="1">
      <c r="A35" s="5" t="inlineStr">
        <is>
          <t>BZ</t>
        </is>
      </c>
      <c r="B35" s="5" t="inlineStr">
        <is>
          <t>Банкетный зал</t>
        </is>
      </c>
      <c r="C35" s="5" t="inlineStr">
        <is>
          <t>Табель и свод ФОТ</t>
        </is>
      </c>
      <c r="D35" s="5" t="inlineStr">
        <is>
          <t>N1</t>
        </is>
      </c>
      <c r="E35" s="5" t="inlineStr">
        <is>
          <t>Табель: ввод часов</t>
        </is>
      </c>
      <c r="F35" s="5" t="inlineStr">
        <is>
          <t>Табель банкетного зала</t>
        </is>
      </c>
      <c r="G35" s="10" t="n">
        <v>0</v>
      </c>
      <c r="H35" s="10" t="n">
        <v>8.5</v>
      </c>
      <c r="I35" s="10" t="n">
        <v>0</v>
      </c>
      <c r="J35" s="10" t="n">
        <v>8.5</v>
      </c>
      <c r="K35" s="9" t="n">
        <v>0.4</v>
      </c>
      <c r="L35" s="10" t="n">
        <v>3.4</v>
      </c>
      <c r="M35" s="10" t="n">
        <v>5.1</v>
      </c>
      <c r="N35" s="5" t="inlineStr">
        <is>
          <t>«ФОТ БЗ» 2,6 МБ, 271 тыс. знаков; в начале файла старые листы другого объекта</t>
        </is>
      </c>
      <c r="O35" s="5" t="inlineStr">
        <is>
          <t>T32</t>
        </is>
      </c>
      <c r="P35" s="14" t="inlineStr"/>
      <c r="Q35" s="14" t="inlineStr"/>
      <c r="R35" s="14" t="inlineStr"/>
    </row>
    <row r="36" ht="60" customHeight="1">
      <c r="A36" s="5" t="inlineStr">
        <is>
          <t>BZ</t>
        </is>
      </c>
      <c r="B36" s="5" t="inlineStr">
        <is>
          <t>Банкетный зал</t>
        </is>
      </c>
      <c r="C36" s="5" t="inlineStr">
        <is>
          <t>Гости, банкеты, доставка</t>
        </is>
      </c>
      <c r="D36" s="5" t="inlineStr">
        <is>
          <t>N12</t>
        </is>
      </c>
      <c r="E36" s="5" t="inlineStr">
        <is>
          <t>Банкетные просчёты и брони в Excel</t>
        </is>
      </c>
      <c r="F36" s="5" t="inlineStr">
        <is>
          <t>Календарь броней: статусы, бюджеты, предоплаты, телефоны</t>
        </is>
      </c>
      <c r="G36" s="10" t="n">
        <v>16</v>
      </c>
      <c r="H36" s="10" t="n">
        <v>0</v>
      </c>
      <c r="I36" s="10" t="n">
        <v>0</v>
      </c>
      <c r="J36" s="10" t="n">
        <v>16</v>
      </c>
      <c r="K36" s="9" t="n">
        <v>0.25</v>
      </c>
      <c r="L36" s="10" t="n">
        <v>4</v>
      </c>
      <c r="M36" s="10" t="n">
        <v>12</v>
      </c>
      <c r="N36" s="5" t="inlineStr">
        <is>
          <t>«БрониБЗ NEW» 353 КБ</t>
        </is>
      </c>
      <c r="O36" s="5" t="inlineStr">
        <is>
          <t>T19 банкеты (сделки и воронка)</t>
        </is>
      </c>
      <c r="P36" s="14" t="inlineStr"/>
      <c r="Q36" s="14" t="inlineStr"/>
      <c r="R36" s="14" t="inlineStr"/>
    </row>
    <row r="37" ht="60" customHeight="1">
      <c r="A37" s="5" t="inlineStr">
        <is>
          <t>BZ</t>
        </is>
      </c>
      <c r="B37" s="5" t="inlineStr">
        <is>
          <t>Банкетный зал</t>
        </is>
      </c>
      <c r="C37" s="5" t="inlineStr">
        <is>
          <t>Гости, банкеты, доставка</t>
        </is>
      </c>
      <c r="D37" s="5" t="inlineStr">
        <is>
          <t>N12</t>
        </is>
      </c>
      <c r="E37" s="5" t="inlineStr">
        <is>
          <t>Банкетные просчёты и брони в Excel</t>
        </is>
      </c>
      <c r="F37" s="5" t="inlineStr">
        <is>
          <t>Просчёты банкетов и предзаказов в Excel</t>
        </is>
      </c>
      <c r="G37" s="10" t="n">
        <v>10</v>
      </c>
      <c r="H37" s="10" t="n">
        <v>0</v>
      </c>
      <c r="I37" s="10" t="n">
        <v>0</v>
      </c>
      <c r="J37" s="10" t="n">
        <v>10</v>
      </c>
      <c r="K37" s="9" t="n">
        <v>0.25</v>
      </c>
      <c r="L37" s="10" t="n">
        <v>2.5</v>
      </c>
      <c r="M37" s="10" t="n">
        <v>7.5</v>
      </c>
      <c r="N37" s="5" t="inlineStr">
        <is>
          <t>Шаблон данных банкетов, КП, предзаказы</t>
        </is>
      </c>
      <c r="O37" s="5" t="inlineStr">
        <is>
          <t>T19 и кабинет банкетов</t>
        </is>
      </c>
      <c r="P37" s="14" t="inlineStr"/>
      <c r="Q37" s="14" t="inlineStr"/>
      <c r="R37" s="14" t="inlineStr"/>
    </row>
    <row r="38" ht="60" customHeight="1">
      <c r="A38" s="5" t="inlineStr">
        <is>
          <t>BZ</t>
        </is>
      </c>
      <c r="B38" s="5" t="inlineStr">
        <is>
          <t>Банкетный зал</t>
        </is>
      </c>
      <c r="C38" s="5" t="inlineStr">
        <is>
          <t>Отчётность: план-факт, БДР, главные отчёты, итоги</t>
        </is>
      </c>
      <c r="D38" s="5" t="inlineStr">
        <is>
          <t>N4</t>
        </is>
      </c>
      <c r="E38" s="5" t="inlineStr">
        <is>
          <t>План-факт по дням</t>
        </is>
      </c>
      <c r="F38" s="5" t="inlineStr">
        <is>
          <t>План-факт по неделям (центральный ввод)</t>
        </is>
      </c>
      <c r="G38" s="10" t="n">
        <v>1.5</v>
      </c>
      <c r="H38" s="10" t="n">
        <v>0</v>
      </c>
      <c r="I38" s="10" t="n">
        <v>0</v>
      </c>
      <c r="J38" s="10" t="n">
        <v>1.5</v>
      </c>
      <c r="K38" s="9" t="n">
        <v>0.05</v>
      </c>
      <c r="L38" s="10" t="n">
        <v>0.07500000000000001</v>
      </c>
      <c r="M38" s="10" t="n">
        <v>1.425</v>
      </c>
      <c r="N38" s="5" t="inlineStr">
        <is>
          <t>«ПЛАН ФАКТ GC», лист Банкетный Зал</t>
        </is>
      </c>
      <c r="O38" s="5" t="inlineStr">
        <is>
          <t>T06</t>
        </is>
      </c>
      <c r="P38" s="14" t="inlineStr"/>
      <c r="Q38" s="14" t="inlineStr"/>
      <c r="R38" s="14" t="inlineStr"/>
    </row>
    <row r="39" ht="60" customHeight="1">
      <c r="A39" s="5" t="inlineStr">
        <is>
          <t>BZ</t>
        </is>
      </c>
      <c r="B39" s="5" t="inlineStr">
        <is>
          <t>Банкетный зал</t>
        </is>
      </c>
      <c r="C39" s="5" t="inlineStr">
        <is>
          <t>Отчётность: план-факт, БДР, главные отчёты, итоги</t>
        </is>
      </c>
      <c r="D39" s="5" t="inlineStr">
        <is>
          <t>N5</t>
        </is>
      </c>
      <c r="E39" s="5" t="inlineStr">
        <is>
          <t>Недельный БДР</t>
        </is>
      </c>
      <c r="F39" s="5" t="inlineStr">
        <is>
          <t>Недельный БДР: 5 строк ФОТ банкета и себестоимость</t>
        </is>
      </c>
      <c r="G39" s="10" t="n">
        <v>3.9</v>
      </c>
      <c r="H39" s="10" t="n">
        <v>0</v>
      </c>
      <c r="I39" s="10" t="n">
        <v>0</v>
      </c>
      <c r="J39" s="10" t="n">
        <v>3.9</v>
      </c>
      <c r="K39" s="9" t="n">
        <v>0.1</v>
      </c>
      <c r="L39" s="10" t="n">
        <v>0.39</v>
      </c>
      <c r="M39" s="10" t="n">
        <v>3.51</v>
      </c>
      <c r="N39" s="5" t="inlineStr">
        <is>
          <t>Лист ФОТ: Банкет менеджер, официанты, клининг, бармены, повара; лист Banket</t>
        </is>
      </c>
      <c r="O39" s="5" t="inlineStr">
        <is>
          <t>T26</t>
        </is>
      </c>
      <c r="P39" s="14" t="inlineStr"/>
      <c r="Q39" s="14" t="inlineStr"/>
      <c r="R39" s="14" t="inlineStr"/>
    </row>
    <row r="40" ht="60" customHeight="1">
      <c r="A40" s="5" t="inlineStr">
        <is>
          <t>BZ</t>
        </is>
      </c>
      <c r="B40" s="5" t="inlineStr">
        <is>
          <t>Банкетный зал</t>
        </is>
      </c>
      <c r="C40" s="5" t="inlineStr">
        <is>
          <t>Отчётность: план-факт, БДР, главные отчёты, итоги</t>
        </is>
      </c>
      <c r="D40" s="5" t="inlineStr">
        <is>
          <t>N6</t>
        </is>
      </c>
      <c r="E40" s="5" t="inlineStr">
        <is>
          <t>«Главные отчёты» объекта</t>
        </is>
      </c>
      <c r="F40" s="5" t="inlineStr">
        <is>
          <t>«Главные отчёты» банкетного зала</t>
        </is>
      </c>
      <c r="G40" s="10" t="n">
        <v>0</v>
      </c>
      <c r="H40" s="10" t="n">
        <v>3</v>
      </c>
      <c r="I40" s="10" t="n">
        <v>0</v>
      </c>
      <c r="J40" s="10" t="n">
        <v>3</v>
      </c>
      <c r="K40" s="9" t="n">
        <v>0.05</v>
      </c>
      <c r="L40" s="10" t="n">
        <v>0.15</v>
      </c>
      <c r="M40" s="10" t="n">
        <v>2.85</v>
      </c>
      <c r="N40" s="5" t="inlineStr">
        <is>
          <t>«Банкетный зал главные отчеты»</t>
        </is>
      </c>
      <c r="O40" s="5" t="inlineStr">
        <is>
          <t>T06</t>
        </is>
      </c>
      <c r="P40" s="14" t="inlineStr"/>
      <c r="Q40" s="14" t="inlineStr"/>
      <c r="R40" s="14" t="inlineStr"/>
    </row>
    <row r="41" ht="60" customHeight="1">
      <c r="A41" s="5" t="inlineStr">
        <is>
          <t>BZ</t>
        </is>
      </c>
      <c r="B41" s="5" t="inlineStr">
        <is>
          <t>Банкетный зал</t>
        </is>
      </c>
      <c r="C41" s="5" t="inlineStr">
        <is>
          <t>Отчётность: план-факт, БДР, главные отчёты, итоги</t>
        </is>
      </c>
      <c r="D41" s="5" t="inlineStr">
        <is>
          <t>N7</t>
        </is>
      </c>
      <c r="E41" s="5" t="inlineStr">
        <is>
          <t>Итоги месяца</t>
        </is>
      </c>
      <c r="F41" s="5" t="inlineStr">
        <is>
          <t>Итоги месяца (PDF 35 МБ)</t>
        </is>
      </c>
      <c r="G41" s="10" t="n">
        <v>0</v>
      </c>
      <c r="H41" s="10" t="n">
        <v>4</v>
      </c>
      <c r="I41" s="10" t="n">
        <v>0</v>
      </c>
      <c r="J41" s="10" t="n">
        <v>4</v>
      </c>
      <c r="K41" s="9" t="n">
        <v>0.25</v>
      </c>
      <c r="L41" s="10" t="n">
        <v>1</v>
      </c>
      <c r="M41" s="10" t="n">
        <v>3</v>
      </c>
      <c r="N41" s="5" t="inlineStr">
        <is>
          <t>«Itogi-banketnogo-zala-sentyabr-2026.pdf»</t>
        </is>
      </c>
      <c r="O41" s="5" t="inlineStr">
        <is>
          <t>T33</t>
        </is>
      </c>
      <c r="P41" s="14" t="inlineStr"/>
      <c r="Q41" s="14" t="inlineStr"/>
      <c r="R41" s="14" t="inlineStr"/>
    </row>
    <row r="42" ht="60" customHeight="1">
      <c r="A42" s="5" t="inlineStr">
        <is>
          <t>DEL</t>
        </is>
      </c>
      <c r="B42" s="5" t="inlineStr">
        <is>
          <t>Доставка (Исеть и Нагорный)</t>
        </is>
      </c>
      <c r="C42" s="5" t="inlineStr">
        <is>
          <t>Табель и свод ФОТ</t>
        </is>
      </c>
      <c r="D42" s="5" t="inlineStr">
        <is>
          <t>N1</t>
        </is>
      </c>
      <c r="E42" s="5" t="inlineStr">
        <is>
          <t>Табель: ввод часов</t>
        </is>
      </c>
      <c r="F42" s="5" t="inlineStr">
        <is>
          <t>Табель двух точек доставки с нормами ФОТ по подразделениям</t>
        </is>
      </c>
      <c r="G42" s="10" t="n">
        <v>0</v>
      </c>
      <c r="H42" s="10" t="n">
        <v>12.5</v>
      </c>
      <c r="I42" s="10" t="n">
        <v>0</v>
      </c>
      <c r="J42" s="10" t="n">
        <v>12.5</v>
      </c>
      <c r="K42" s="9" t="n">
        <v>0.4</v>
      </c>
      <c r="L42" s="10" t="n">
        <v>5</v>
      </c>
      <c r="M42" s="10" t="n">
        <v>7.5</v>
      </c>
      <c r="N42" s="5" t="inlineStr">
        <is>
          <t>«Онлайн ФОТ ДОСТАВКА новый-октябрь» 166 КБ, 96 тыс. знаков, обновлён 16.10 09:13</t>
        </is>
      </c>
      <c r="O42" s="5" t="inlineStr">
        <is>
          <t>T32</t>
        </is>
      </c>
      <c r="P42" s="14" t="inlineStr"/>
      <c r="Q42" s="14" t="inlineStr"/>
      <c r="R42" s="14" t="inlineStr"/>
    </row>
    <row r="43" ht="60" customHeight="1">
      <c r="A43" s="5" t="inlineStr">
        <is>
          <t>DEL</t>
        </is>
      </c>
      <c r="B43" s="5" t="inlineStr">
        <is>
          <t>Доставка (Исеть и Нагорный)</t>
        </is>
      </c>
      <c r="C43" s="5" t="inlineStr">
        <is>
          <t>План смен и графики</t>
        </is>
      </c>
      <c r="D43" s="5" t="inlineStr">
        <is>
          <t>N2</t>
        </is>
      </c>
      <c r="E43" s="5" t="inlineStr">
        <is>
          <t>Штатное расписание</t>
        </is>
      </c>
      <c r="F43" s="5" t="inlineStr">
        <is>
          <t>Штатное расписание (листы DEL в ШР Исеть и Нагорного)</t>
        </is>
      </c>
      <c r="G43" s="10" t="n">
        <v>0</v>
      </c>
      <c r="H43" s="10" t="n">
        <v>4</v>
      </c>
      <c r="I43" s="10" t="n">
        <v>0</v>
      </c>
      <c r="J43" s="10" t="n">
        <v>4</v>
      </c>
      <c r="K43" s="9" t="n">
        <v>0.35</v>
      </c>
      <c r="L43" s="10" t="n">
        <v>1.4</v>
      </c>
      <c r="M43" s="10" t="n">
        <v>2.6</v>
      </c>
      <c r="N43" s="5" t="inlineStr">
        <is>
          <t>«ШР ноябрь Исеть», лист DEL ISET; «ШР Нагорный 2026»</t>
        </is>
      </c>
      <c r="O43" s="5" t="inlineStr">
        <is>
          <t>T02</t>
        </is>
      </c>
      <c r="P43" s="14" t="inlineStr"/>
      <c r="Q43" s="14" t="inlineStr"/>
      <c r="R43" s="14" t="inlineStr"/>
    </row>
    <row r="44" ht="60" customHeight="1">
      <c r="A44" s="5" t="inlineStr">
        <is>
          <t>DEL</t>
        </is>
      </c>
      <c r="B44" s="5" t="inlineStr">
        <is>
          <t>Доставка (Исеть и Нагорный)</t>
        </is>
      </c>
      <c r="C44" s="5" t="inlineStr">
        <is>
          <t>Отчётность: план-факт, БДР, главные отчёты, итоги</t>
        </is>
      </c>
      <c r="D44" s="5" t="inlineStr">
        <is>
          <t>N4</t>
        </is>
      </c>
      <c r="E44" s="5" t="inlineStr">
        <is>
          <t>План-факт по дням</t>
        </is>
      </c>
      <c r="F44" s="5" t="inlineStr">
        <is>
          <t>План-факт: 2 строки центрального ввода и собственная копия</t>
        </is>
      </c>
      <c r="G44" s="10" t="n">
        <v>3</v>
      </c>
      <c r="H44" s="10" t="n">
        <v>5</v>
      </c>
      <c r="I44" s="10" t="n">
        <v>0</v>
      </c>
      <c r="J44" s="10" t="n">
        <v>8</v>
      </c>
      <c r="K44" s="9" t="n">
        <v>0.05</v>
      </c>
      <c r="L44" s="10" t="n">
        <v>0.4</v>
      </c>
      <c r="M44" s="10" t="n">
        <v>7.6</v>
      </c>
      <c r="N44" s="5" t="inlineStr">
        <is>
          <t>Листы Delivery BWN и Delivery BWI; «ПЛАН ФАКТ DEL сентябрь 2026»</t>
        </is>
      </c>
      <c r="O44" s="5" t="inlineStr">
        <is>
          <t>T06</t>
        </is>
      </c>
      <c r="P44" s="14" t="inlineStr"/>
      <c r="Q44" s="14" t="inlineStr"/>
      <c r="R44" s="14" t="inlineStr"/>
    </row>
    <row r="45" ht="60" customHeight="1">
      <c r="A45" s="5" t="inlineStr">
        <is>
          <t>DEL</t>
        </is>
      </c>
      <c r="B45" s="5" t="inlineStr">
        <is>
          <t>Доставка (Исеть и Нагорный)</t>
        </is>
      </c>
      <c r="C45" s="5" t="inlineStr">
        <is>
          <t>Отчётность: план-факт, БДР, главные отчёты, итоги</t>
        </is>
      </c>
      <c r="D45" s="5" t="inlineStr">
        <is>
          <t>N5</t>
        </is>
      </c>
      <c r="E45" s="5" t="inlineStr">
        <is>
          <t>Недельный БДР</t>
        </is>
      </c>
      <c r="F45" s="5" t="inlineStr">
        <is>
          <t>Недельный БДР: 8 строк ФОТ доставки и себестоимость</t>
        </is>
      </c>
      <c r="G45" s="10" t="n">
        <v>5.6</v>
      </c>
      <c r="H45" s="10" t="n">
        <v>1</v>
      </c>
      <c r="I45" s="10" t="n">
        <v>0</v>
      </c>
      <c r="J45" s="10" t="n">
        <v>6.6</v>
      </c>
      <c r="K45" s="9" t="n">
        <v>0.1</v>
      </c>
      <c r="L45" s="10" t="n">
        <v>0.66</v>
      </c>
      <c r="M45" s="10" t="n">
        <v>5.94</v>
      </c>
      <c r="N45" s="5" t="inlineStr">
        <is>
          <t>Лист ФОТ: АУП, менеджеры, официанты рум-сервиса, курьеры × 2 точки; лист Delivery NEW</t>
        </is>
      </c>
      <c r="O45" s="5" t="inlineStr">
        <is>
          <t>T26</t>
        </is>
      </c>
      <c r="P45" s="14" t="inlineStr"/>
      <c r="Q45" s="14" t="inlineStr"/>
      <c r="R45" s="14" t="inlineStr"/>
    </row>
    <row r="46" ht="60" customHeight="1">
      <c r="A46" s="5" t="inlineStr">
        <is>
          <t>DEL</t>
        </is>
      </c>
      <c r="B46" s="5" t="inlineStr">
        <is>
          <t>Доставка (Исеть и Нагорный)</t>
        </is>
      </c>
      <c r="C46" s="5" t="inlineStr">
        <is>
          <t>Отчётность: план-факт, БДР, главные отчёты, итоги</t>
        </is>
      </c>
      <c r="D46" s="5" t="inlineStr">
        <is>
          <t>N6</t>
        </is>
      </c>
      <c r="E46" s="5" t="inlineStr">
        <is>
          <t>«Главные отчёты» объекта</t>
        </is>
      </c>
      <c r="F46" s="5" t="inlineStr">
        <is>
          <t>«Главные отчёты DELIVERY»</t>
        </is>
      </c>
      <c r="G46" s="10" t="n">
        <v>0</v>
      </c>
      <c r="H46" s="10" t="n">
        <v>3</v>
      </c>
      <c r="I46" s="10" t="n">
        <v>0</v>
      </c>
      <c r="J46" s="10" t="n">
        <v>3</v>
      </c>
      <c r="K46" s="9" t="n">
        <v>0.05</v>
      </c>
      <c r="L46" s="10" t="n">
        <v>0.15</v>
      </c>
      <c r="M46" s="10" t="n">
        <v>2.85</v>
      </c>
      <c r="N46" s="5" t="inlineStr">
        <is>
          <t>«ГЛАВНЫЕ ОТЧЕТЫ DELIVERY (нужный)» 79 КБ</t>
        </is>
      </c>
      <c r="O46" s="5" t="inlineStr">
        <is>
          <t>T06</t>
        </is>
      </c>
      <c r="P46" s="14" t="inlineStr"/>
      <c r="Q46" s="14" t="inlineStr"/>
      <c r="R46" s="14" t="inlineStr"/>
    </row>
    <row r="47" ht="60" customHeight="1">
      <c r="A47" s="5" t="inlineStr">
        <is>
          <t>DEL</t>
        </is>
      </c>
      <c r="B47" s="5" t="inlineStr">
        <is>
          <t>Доставка (Исеть и Нагорный)</t>
        </is>
      </c>
      <c r="C47" s="5" t="inlineStr">
        <is>
          <t>Отчётность: план-факт, БДР, главные отчёты, итоги</t>
        </is>
      </c>
      <c r="D47" s="5" t="inlineStr">
        <is>
          <t>N7</t>
        </is>
      </c>
      <c r="E47" s="5" t="inlineStr">
        <is>
          <t>Итоги месяца</t>
        </is>
      </c>
      <c r="F47" s="5" t="inlineStr">
        <is>
          <t>Итоги месяца</t>
        </is>
      </c>
      <c r="G47" s="10" t="n">
        <v>0</v>
      </c>
      <c r="H47" s="10" t="n">
        <v>4</v>
      </c>
      <c r="I47" s="10" t="n">
        <v>0</v>
      </c>
      <c r="J47" s="10" t="n">
        <v>4</v>
      </c>
      <c r="K47" s="9" t="n">
        <v>0.25</v>
      </c>
      <c r="L47" s="10" t="n">
        <v>1</v>
      </c>
      <c r="M47" s="10" t="n">
        <v>3</v>
      </c>
      <c r="N47" s="5" t="inlineStr">
        <is>
          <t>«Сентябрь 2026 ДОСТАВКА.pptx»</t>
        </is>
      </c>
      <c r="O47" s="5" t="inlineStr">
        <is>
          <t>T33</t>
        </is>
      </c>
      <c r="P47" s="14" t="inlineStr"/>
      <c r="Q47" s="14" t="inlineStr"/>
      <c r="R47" s="14" t="inlineStr"/>
    </row>
    <row r="48" ht="60" customHeight="1">
      <c r="A48" s="5" t="inlineStr">
        <is>
          <t>DEL</t>
        </is>
      </c>
      <c r="B48" s="5" t="inlineStr">
        <is>
          <t>Доставка (Исеть и Нагорный)</t>
        </is>
      </c>
      <c r="C48" s="5" t="inlineStr">
        <is>
          <t>Гости, банкеты, доставка</t>
        </is>
      </c>
      <c r="D48" s="5" t="inlineStr">
        <is>
          <t>N16</t>
        </is>
      </c>
      <c r="E48" s="5" t="inlineStr">
        <is>
          <t>Тайминги доставки</t>
        </is>
      </c>
      <c r="F48" s="5" t="inlineStr">
        <is>
          <t>Тайминги: выгрузка из iiko и разбор по заказам еженедельно</t>
        </is>
      </c>
      <c r="G48" s="10" t="n">
        <v>0</v>
      </c>
      <c r="H48" s="10" t="n">
        <v>12</v>
      </c>
      <c r="I48" s="10" t="n">
        <v>0</v>
      </c>
      <c r="J48" s="10" t="n">
        <v>12</v>
      </c>
      <c r="K48" s="9" t="n">
        <v>0.1</v>
      </c>
      <c r="L48" s="10" t="n">
        <v>1.2</v>
      </c>
      <c r="M48" s="10" t="n">
        <v>10.8</v>
      </c>
      <c r="N48" s="5" t="inlineStr">
        <is>
          <t>«Время в пути» (5 файлов), «Отчет таймингов-готов-доставлен» 138 КБ</t>
        </is>
      </c>
      <c r="O48" s="5" t="inlineStr">
        <is>
          <t>T27 метрики доставки</t>
        </is>
      </c>
      <c r="P48" s="14" t="inlineStr"/>
      <c r="Q48" s="14" t="inlineStr"/>
      <c r="R48" s="14" t="inlineStr"/>
    </row>
    <row r="49" ht="60" customHeight="1">
      <c r="A49" s="5" t="inlineStr">
        <is>
          <t>DEL</t>
        </is>
      </c>
      <c r="B49" s="5" t="inlineStr">
        <is>
          <t>Доставка (Исеть и Нагорный)</t>
        </is>
      </c>
      <c r="C49" s="5" t="inlineStr">
        <is>
          <t>Отчётность: план-факт, БДР, главные отчёты, итоги</t>
        </is>
      </c>
      <c r="D49" s="5" t="inlineStr">
        <is>
          <t>N14</t>
        </is>
      </c>
      <c r="E49" s="5" t="inlineStr">
        <is>
          <t>Дорожная карта месяца</t>
        </is>
      </c>
      <c r="F49" s="5" t="inlineStr">
        <is>
          <t>Дорожная карта доставки в Excel</t>
        </is>
      </c>
      <c r="G49" s="10" t="n">
        <v>0</v>
      </c>
      <c r="H49" s="10" t="n">
        <v>2</v>
      </c>
      <c r="I49" s="10" t="n">
        <v>0</v>
      </c>
      <c r="J49" s="10" t="n">
        <v>2</v>
      </c>
      <c r="K49" s="9" t="n">
        <v>0.3</v>
      </c>
      <c r="L49" s="10" t="n">
        <v>0.6</v>
      </c>
      <c r="M49" s="10" t="n">
        <v>1.4</v>
      </c>
      <c r="N49" s="5" t="inlineStr">
        <is>
          <t>Лист «Дорожная карта доставка» в главных отчётах; «Дорожная карта.xlsx» 359 КБ</t>
        </is>
      </c>
      <c r="O49" s="5" t="inlineStr">
        <is>
          <t>T24</t>
        </is>
      </c>
      <c r="P49" s="14" t="inlineStr"/>
      <c r="Q49" s="14" t="inlineStr"/>
      <c r="R49" s="14" t="inlineStr"/>
    </row>
    <row r="50" ht="60" customHeight="1">
      <c r="A50" s="5" t="inlineStr">
        <is>
          <t>DEL</t>
        </is>
      </c>
      <c r="B50" s="5" t="inlineStr">
        <is>
          <t>Доставка (Исеть и Нагорный)</t>
        </is>
      </c>
      <c r="C50" s="5" t="inlineStr">
        <is>
          <t>Отчётность: план-факт, БДР, главные отчёты, итоги</t>
        </is>
      </c>
      <c r="D50" s="5" t="inlineStr">
        <is>
          <t>N6</t>
        </is>
      </c>
      <c r="E50" s="5" t="inlineStr">
        <is>
          <t>«Главные отчёты» объекта</t>
        </is>
      </c>
      <c r="F50" s="5" t="inlineStr">
        <is>
          <t>Аналитические файлы вручную (ROI, Яндекс, продукты)</t>
        </is>
      </c>
      <c r="G50" s="10" t="n">
        <v>0</v>
      </c>
      <c r="H50" s="10" t="n">
        <v>2</v>
      </c>
      <c r="I50" s="10" t="n">
        <v>0</v>
      </c>
      <c r="J50" s="10" t="n">
        <v>2</v>
      </c>
      <c r="K50" s="9" t="n">
        <v>0.1</v>
      </c>
      <c r="L50" s="10" t="n">
        <v>0.2</v>
      </c>
      <c r="M50" s="10" t="n">
        <v>1.8</v>
      </c>
      <c r="N50" s="5" t="inlineStr">
        <is>
          <t>«Return on Investment Доставка», «Яндекс масс», «Пирог», «Мини-роллы», «Метрики»</t>
        </is>
      </c>
      <c r="O50" s="5" t="inlineStr">
        <is>
          <t>T27</t>
        </is>
      </c>
      <c r="P50" s="14" t="inlineStr"/>
      <c r="Q50" s="14" t="inlineStr"/>
      <c r="R50" s="14" t="inlineStr"/>
    </row>
    <row r="51" ht="60" customHeight="1">
      <c r="A51" s="5" t="inlineStr">
        <is>
          <t>DEL</t>
        </is>
      </c>
      <c r="B51" s="5" t="inlineStr">
        <is>
          <t>Доставка (Исеть и Нагорный)</t>
        </is>
      </c>
      <c r="C51" s="5" t="inlineStr">
        <is>
          <t>Снабжение и заявки</t>
        </is>
      </c>
      <c r="D51" s="5" t="inlineStr">
        <is>
          <t>N20</t>
        </is>
      </c>
      <c r="E51" s="5" t="inlineStr">
        <is>
          <t>Заявки снабжению и перемещения вне панели</t>
        </is>
      </c>
      <c r="F51" s="5" t="inlineStr">
        <is>
          <t>Заявки снабжению</t>
        </is>
      </c>
      <c r="G51" s="10" t="n">
        <v>0</v>
      </c>
      <c r="H51" s="10" t="n">
        <v>0</v>
      </c>
      <c r="I51" s="10" t="n">
        <v>3</v>
      </c>
      <c r="J51" s="10" t="n">
        <v>3</v>
      </c>
      <c r="K51" s="9" t="n">
        <v>0.3</v>
      </c>
      <c r="L51" s="10" t="n">
        <v>0.8999999999999999</v>
      </c>
      <c r="M51" s="10" t="n">
        <v>2.1</v>
      </c>
      <c r="N51" s="5" t="inlineStr">
        <is>
          <t>«Заявочные листы Исеть»</t>
        </is>
      </c>
      <c r="O51" s="5" t="inlineStr">
        <is>
          <t>T28</t>
        </is>
      </c>
      <c r="P51" s="14" t="inlineStr"/>
      <c r="Q51" s="14" t="inlineStr"/>
      <c r="R51" s="14" t="inlineStr"/>
    </row>
    <row r="52" ht="60" customHeight="1">
      <c r="A52" s="5" t="inlineStr">
        <is>
          <t>BWI</t>
        </is>
      </c>
      <c r="B52" s="5" t="inlineStr">
        <is>
          <t>Breadway Исеть</t>
        </is>
      </c>
      <c r="C52" s="5" t="inlineStr">
        <is>
          <t>Табель и свод ФОТ</t>
        </is>
      </c>
      <c r="D52" s="5" t="inlineStr">
        <is>
          <t>N1</t>
        </is>
      </c>
      <c r="E52" s="5" t="inlineStr">
        <is>
          <t>Табель: ввод часов</t>
        </is>
      </c>
      <c r="F52" s="5" t="inlineStr">
        <is>
          <t>Табель: ежедневный ввод и закрытие месяца</t>
        </is>
      </c>
      <c r="G52" s="10" t="n">
        <v>0</v>
      </c>
      <c r="H52" s="10" t="n">
        <v>16.5</v>
      </c>
      <c r="I52" s="10" t="n">
        <v>0</v>
      </c>
      <c r="J52" s="10" t="n">
        <v>16.5</v>
      </c>
      <c r="K52" s="9" t="n">
        <v>0.4</v>
      </c>
      <c r="L52" s="10" t="n">
        <v>6.600000000000001</v>
      </c>
      <c r="M52" s="10" t="n">
        <v>9.9</v>
      </c>
      <c r="N52" s="5" t="inlineStr">
        <is>
          <t>«Табель Онлайн-Фот BWI» 147 КБ (только октябрь; архив 2,9 МБ), #ССЫЛКА! в итогах клининга; обновлён 15.10 20:59</t>
        </is>
      </c>
      <c r="O52" s="5" t="inlineStr">
        <is>
          <t>T32</t>
        </is>
      </c>
      <c r="P52" s="14" t="inlineStr"/>
      <c r="Q52" s="14" t="inlineStr"/>
      <c r="R52" s="14" t="inlineStr"/>
    </row>
    <row r="53" ht="60" customHeight="1">
      <c r="A53" s="5" t="inlineStr">
        <is>
          <t>BWI</t>
        </is>
      </c>
      <c r="B53" s="5" t="inlineStr">
        <is>
          <t>Breadway Исеть</t>
        </is>
      </c>
      <c r="C53" s="5" t="inlineStr">
        <is>
          <t>План смен и графики</t>
        </is>
      </c>
      <c r="D53" s="5" t="inlineStr">
        <is>
          <t>N2</t>
        </is>
      </c>
      <c r="E53" s="5" t="inlineStr">
        <is>
          <t>Штатное расписание</t>
        </is>
      </c>
      <c r="F53" s="5" t="inlineStr">
        <is>
          <t>Штатное расписание (лист BW ISET)</t>
        </is>
      </c>
      <c r="G53" s="10" t="n">
        <v>0</v>
      </c>
      <c r="H53" s="10" t="n">
        <v>6</v>
      </c>
      <c r="I53" s="10" t="n">
        <v>0</v>
      </c>
      <c r="J53" s="10" t="n">
        <v>6</v>
      </c>
      <c r="K53" s="9" t="n">
        <v>0.35</v>
      </c>
      <c r="L53" s="10" t="n">
        <v>2.1</v>
      </c>
      <c r="M53" s="10" t="n">
        <v>3.9</v>
      </c>
      <c r="N53" s="5" t="inlineStr">
        <is>
          <t>«ШР ноябрь Исеть»: 7,5 млн план, премии и проценты по людям</t>
        </is>
      </c>
      <c r="O53" s="5" t="inlineStr">
        <is>
          <t>T02</t>
        </is>
      </c>
      <c r="P53" s="14" t="inlineStr"/>
      <c r="Q53" s="14" t="inlineStr"/>
      <c r="R53" s="14" t="inlineStr"/>
    </row>
    <row r="54" ht="60" customHeight="1">
      <c r="A54" s="5" t="inlineStr">
        <is>
          <t>BWI</t>
        </is>
      </c>
      <c r="B54" s="5" t="inlineStr">
        <is>
          <t>Breadway Исеть</t>
        </is>
      </c>
      <c r="C54" s="5" t="inlineStr">
        <is>
          <t>План смен и графики</t>
        </is>
      </c>
      <c r="D54" s="5" t="inlineStr">
        <is>
          <t>N3</t>
        </is>
      </c>
      <c r="E54" s="5" t="inlineStr">
        <is>
          <t>Недельный график смен</t>
        </is>
      </c>
      <c r="F54" s="5" t="inlineStr">
        <is>
          <t>Недельный график сервиса</t>
        </is>
      </c>
      <c r="G54" s="10" t="n">
        <v>0</v>
      </c>
      <c r="H54" s="10" t="n">
        <v>0</v>
      </c>
      <c r="I54" s="10" t="n">
        <v>6</v>
      </c>
      <c r="J54" s="10" t="n">
        <v>6</v>
      </c>
      <c r="K54" s="9" t="n">
        <v>0.35</v>
      </c>
      <c r="L54" s="10" t="n">
        <v>2.1</v>
      </c>
      <c r="M54" s="10" t="n">
        <v>3.9</v>
      </c>
      <c r="N54" s="5" t="inlineStr">
        <is>
          <t>«График сервис.xlsx»: листы по неделям с телефонами</t>
        </is>
      </c>
      <c r="O54" s="5" t="inlineStr">
        <is>
          <t>T02</t>
        </is>
      </c>
      <c r="P54" s="14" t="inlineStr"/>
      <c r="Q54" s="14" t="inlineStr"/>
      <c r="R54" s="14" t="inlineStr"/>
    </row>
    <row r="55" ht="60" customHeight="1">
      <c r="A55" s="5" t="inlineStr">
        <is>
          <t>BWI</t>
        </is>
      </c>
      <c r="B55" s="5" t="inlineStr">
        <is>
          <t>Breadway Исеть</t>
        </is>
      </c>
      <c r="C55" s="5" t="inlineStr">
        <is>
          <t>Отчётность: план-факт, БДР, главные отчёты, итоги</t>
        </is>
      </c>
      <c r="D55" s="5" t="inlineStr">
        <is>
          <t>N4</t>
        </is>
      </c>
      <c r="E55" s="5" t="inlineStr">
        <is>
          <t>План-факт по дням</t>
        </is>
      </c>
      <c r="F55" s="5" t="inlineStr">
        <is>
          <t>План-факт (строка BWI)</t>
        </is>
      </c>
      <c r="G55" s="10" t="n">
        <v>1.5</v>
      </c>
      <c r="H55" s="10" t="n">
        <v>0</v>
      </c>
      <c r="I55" s="10" t="n">
        <v>0</v>
      </c>
      <c r="J55" s="10" t="n">
        <v>1.5</v>
      </c>
      <c r="K55" s="9" t="n">
        <v>0.05</v>
      </c>
      <c r="L55" s="10" t="n">
        <v>0.07500000000000001</v>
      </c>
      <c r="M55" s="10" t="n">
        <v>1.425</v>
      </c>
      <c r="N55" s="5" t="inlineStr">
        <is>
          <t>«ПЛАН ФАКТ GC», лист BWI</t>
        </is>
      </c>
      <c r="O55" s="5" t="inlineStr">
        <is>
          <t>T06</t>
        </is>
      </c>
      <c r="P55" s="14" t="inlineStr"/>
      <c r="Q55" s="14" t="inlineStr"/>
      <c r="R55" s="14" t="inlineStr"/>
    </row>
    <row r="56" ht="60" customHeight="1">
      <c r="A56" s="5" t="inlineStr">
        <is>
          <t>BWI</t>
        </is>
      </c>
      <c r="B56" s="5" t="inlineStr">
        <is>
          <t>Breadway Исеть</t>
        </is>
      </c>
      <c r="C56" s="5" t="inlineStr">
        <is>
          <t>Отчётность: план-факт, БДР, главные отчёты, итоги</t>
        </is>
      </c>
      <c r="D56" s="5" t="inlineStr">
        <is>
          <t>N5</t>
        </is>
      </c>
      <c r="E56" s="5" t="inlineStr">
        <is>
          <t>Недельный БДР</t>
        </is>
      </c>
      <c r="F56" s="5" t="inlineStr">
        <is>
          <t>Недельный БДР: 5 строк ФОТ и себестоимость</t>
        </is>
      </c>
      <c r="G56" s="10" t="n">
        <v>3.9</v>
      </c>
      <c r="H56" s="10" t="n">
        <v>1</v>
      </c>
      <c r="I56" s="10" t="n">
        <v>0</v>
      </c>
      <c r="J56" s="10" t="n">
        <v>4.9</v>
      </c>
      <c r="K56" s="9" t="n">
        <v>0.1</v>
      </c>
      <c r="L56" s="10" t="n">
        <v>0.49</v>
      </c>
      <c r="M56" s="10" t="n">
        <v>4.41</v>
      </c>
      <c r="N56" s="5" t="inlineStr">
        <is>
          <t>Лист ФОТ: АУП, Кухня, Кондитерский, Зал, Бар Бреадвей; лист Себес Breadway Iset</t>
        </is>
      </c>
      <c r="O56" s="5" t="inlineStr">
        <is>
          <t>T26</t>
        </is>
      </c>
      <c r="P56" s="14" t="inlineStr"/>
      <c r="Q56" s="14" t="inlineStr"/>
      <c r="R56" s="14" t="inlineStr"/>
    </row>
    <row r="57" ht="60" customHeight="1">
      <c r="A57" s="5" t="inlineStr">
        <is>
          <t>BWI</t>
        </is>
      </c>
      <c r="B57" s="5" t="inlineStr">
        <is>
          <t>Breadway Исеть</t>
        </is>
      </c>
      <c r="C57" s="5" t="inlineStr">
        <is>
          <t>Отчётность: план-факт, БДР, главные отчёты, итоги</t>
        </is>
      </c>
      <c r="D57" s="5" t="inlineStr">
        <is>
          <t>N6</t>
        </is>
      </c>
      <c r="E57" s="5" t="inlineStr">
        <is>
          <t>«Главные отчёты» объекта</t>
        </is>
      </c>
      <c r="F57" s="5" t="inlineStr">
        <is>
          <t>«Главные отчёты BWI» (202 исправления формул)</t>
        </is>
      </c>
      <c r="G57" s="10" t="n">
        <v>0</v>
      </c>
      <c r="H57" s="10" t="n">
        <v>3</v>
      </c>
      <c r="I57" s="10" t="n">
        <v>0</v>
      </c>
      <c r="J57" s="10" t="n">
        <v>3</v>
      </c>
      <c r="K57" s="9" t="n">
        <v>0.05</v>
      </c>
      <c r="L57" s="10" t="n">
        <v>0.15</v>
      </c>
      <c r="M57" s="10" t="n">
        <v>2.85</v>
      </c>
      <c r="N57" s="5" t="inlineStr">
        <is>
          <t>«ГЛАВНЫЕ_ОТЧЁТЫ_BWI» 126 КБ, лист ПРОВЕРКА ФОРМУЛ</t>
        </is>
      </c>
      <c r="O57" s="5" t="inlineStr">
        <is>
          <t>T06</t>
        </is>
      </c>
      <c r="P57" s="14" t="inlineStr"/>
      <c r="Q57" s="14" t="inlineStr"/>
      <c r="R57" s="14" t="inlineStr"/>
    </row>
    <row r="58" ht="60" customHeight="1">
      <c r="A58" s="5" t="inlineStr">
        <is>
          <t>BWI</t>
        </is>
      </c>
      <c r="B58" s="5" t="inlineStr">
        <is>
          <t>Breadway Исеть</t>
        </is>
      </c>
      <c r="C58" s="5" t="inlineStr">
        <is>
          <t>Отчётность: план-факт, БДР, главные отчёты, итоги</t>
        </is>
      </c>
      <c r="D58" s="5" t="inlineStr">
        <is>
          <t>N7</t>
        </is>
      </c>
      <c r="E58" s="5" t="inlineStr">
        <is>
          <t>Итоги месяца</t>
        </is>
      </c>
      <c r="F58" s="5" t="inlineStr">
        <is>
          <t>Итоги месяца (презентация 5 МБ)</t>
        </is>
      </c>
      <c r="G58" s="10" t="n">
        <v>0</v>
      </c>
      <c r="H58" s="10" t="n">
        <v>6</v>
      </c>
      <c r="I58" s="10" t="n">
        <v>0</v>
      </c>
      <c r="J58" s="10" t="n">
        <v>6</v>
      </c>
      <c r="K58" s="9" t="n">
        <v>0.25</v>
      </c>
      <c r="L58" s="10" t="n">
        <v>1.5</v>
      </c>
      <c r="M58" s="10" t="n">
        <v>4.5</v>
      </c>
      <c r="N58" s="5" t="inlineStr">
        <is>
          <t>«Breadway-Iset Сентябрь.pptx»</t>
        </is>
      </c>
      <c r="O58" s="5" t="inlineStr">
        <is>
          <t>T33</t>
        </is>
      </c>
      <c r="P58" s="14" t="inlineStr"/>
      <c r="Q58" s="14" t="inlineStr"/>
      <c r="R58" s="14" t="inlineStr"/>
    </row>
    <row r="59" ht="60" customHeight="1">
      <c r="A59" s="5" t="inlineStr">
        <is>
          <t>BWI</t>
        </is>
      </c>
      <c r="B59" s="5" t="inlineStr">
        <is>
          <t>Breadway Исеть</t>
        </is>
      </c>
      <c r="C59" s="5" t="inlineStr">
        <is>
          <t>Смена: чек-листы, журналы, касса</t>
        </is>
      </c>
      <c r="D59" s="5" t="inlineStr">
        <is>
          <t>N8</t>
        </is>
      </c>
      <c r="E59" s="5" t="inlineStr">
        <is>
          <t>Ежедневные журналы в Excel</t>
        </is>
      </c>
      <c r="F59" s="5" t="inlineStr">
        <is>
          <t>Журналы в Excel: здоровья, гнойничковый, ежедневные хозтовары</t>
        </is>
      </c>
      <c r="G59" s="10" t="n">
        <v>0</v>
      </c>
      <c r="H59" s="10" t="n">
        <v>0</v>
      </c>
      <c r="I59" s="10" t="n">
        <v>10</v>
      </c>
      <c r="J59" s="10" t="n">
        <v>10</v>
      </c>
      <c r="K59" s="9" t="n">
        <v>0.33</v>
      </c>
      <c r="L59" s="10" t="n">
        <v>3.3</v>
      </c>
      <c r="M59" s="10" t="n">
        <v>6.699999999999999</v>
      </c>
      <c r="N59" s="5" t="inlineStr">
        <is>
          <t>BWI/Менеджеры: три файла 0,5–1 МБ, ежедневные отметки по сотрудникам и позициям</t>
        </is>
      </c>
      <c r="O59" s="5" t="inlineStr">
        <is>
          <t>T04</t>
        </is>
      </c>
      <c r="P59" s="14" t="inlineStr"/>
      <c r="Q59" s="14" t="inlineStr"/>
      <c r="R59" s="14" t="inlineStr"/>
    </row>
    <row r="60" ht="60" customHeight="1">
      <c r="A60" s="5" t="inlineStr">
        <is>
          <t>BWI</t>
        </is>
      </c>
      <c r="B60" s="5" t="inlineStr">
        <is>
          <t>Breadway Исеть</t>
        </is>
      </c>
      <c r="C60" s="5" t="inlineStr">
        <is>
          <t>Гости, банкеты, доставка</t>
        </is>
      </c>
      <c r="D60" s="5" t="inlineStr">
        <is>
          <t>N11</t>
        </is>
      </c>
      <c r="E60" s="5" t="inlineStr">
        <is>
          <t>Гостевые списки вручную</t>
        </is>
      </c>
      <c r="F60" s="5" t="inlineStr">
        <is>
          <t>Прозвоны гостей по дням рождения</t>
        </is>
      </c>
      <c r="G60" s="10" t="n">
        <v>0</v>
      </c>
      <c r="H60" s="10" t="n">
        <v>0</v>
      </c>
      <c r="I60" s="10" t="n">
        <v>2</v>
      </c>
      <c r="J60" s="10" t="n">
        <v>2</v>
      </c>
      <c r="K60" s="9" t="n">
        <v>0.2</v>
      </c>
      <c r="L60" s="10" t="n">
        <v>0.4</v>
      </c>
      <c r="M60" s="10" t="n">
        <v>1.6</v>
      </c>
      <c r="N60" s="5" t="inlineStr">
        <is>
          <t>«Прозвоны дни рождений» (две копии)</t>
        </is>
      </c>
      <c r="O60" s="5" t="inlineStr">
        <is>
          <t>T15</t>
        </is>
      </c>
      <c r="P60" s="14" t="inlineStr"/>
      <c r="Q60" s="14" t="inlineStr"/>
      <c r="R60" s="14" t="inlineStr"/>
    </row>
    <row r="61" ht="60" customHeight="1">
      <c r="A61" s="5" t="inlineStr">
        <is>
          <t>BWI</t>
        </is>
      </c>
      <c r="B61" s="5" t="inlineStr">
        <is>
          <t>Breadway Исеть</t>
        </is>
      </c>
      <c r="C61" s="5" t="inlineStr">
        <is>
          <t>Ревизии и потери</t>
        </is>
      </c>
      <c r="D61" s="5" t="inlineStr">
        <is>
          <t>N13</t>
        </is>
      </c>
      <c r="E61" s="5" t="inlineStr">
        <is>
          <t>Журнал проблем (ППР) и реестр отзывов</t>
        </is>
      </c>
      <c r="F61" s="5" t="inlineStr">
        <is>
          <t>ППР (журнал проблем) и таблица компенсаций</t>
        </is>
      </c>
      <c r="G61" s="10" t="n">
        <v>0</v>
      </c>
      <c r="H61" s="10" t="n">
        <v>3</v>
      </c>
      <c r="I61" s="10" t="n">
        <v>1</v>
      </c>
      <c r="J61" s="10" t="n">
        <v>4</v>
      </c>
      <c r="K61" s="9" t="n">
        <v>0.25</v>
      </c>
      <c r="L61" s="10" t="n">
        <v>1</v>
      </c>
      <c r="M61" s="10" t="n">
        <v>3</v>
      </c>
      <c r="N61" s="5" t="inlineStr">
        <is>
          <t>«BWI .xlsx» лист ППР (297 КБ); «Таблица компенсаций», лист Октябрь</t>
        </is>
      </c>
      <c r="O61" s="5" t="inlineStr">
        <is>
          <t>T14 и T05</t>
        </is>
      </c>
      <c r="P61" s="14" t="inlineStr"/>
      <c r="Q61" s="14" t="inlineStr"/>
      <c r="R61" s="14" t="inlineStr"/>
    </row>
    <row r="62" ht="60" customHeight="1">
      <c r="A62" s="5" t="inlineStr">
        <is>
          <t>BWI</t>
        </is>
      </c>
      <c r="B62" s="5" t="inlineStr">
        <is>
          <t>Breadway Исеть</t>
        </is>
      </c>
      <c r="C62" s="5" t="inlineStr">
        <is>
          <t>Гости, банкеты, доставка</t>
        </is>
      </c>
      <c r="D62" s="5" t="inlineStr">
        <is>
          <t>N12</t>
        </is>
      </c>
      <c r="E62" s="5" t="inlineStr">
        <is>
          <t>Банкетные просчёты и брони в Excel</t>
        </is>
      </c>
      <c r="F62" s="5" t="inlineStr">
        <is>
          <t>Просчёты банкетов и предзаказов в Excel</t>
        </is>
      </c>
      <c r="G62" s="10" t="n">
        <v>0</v>
      </c>
      <c r="H62" s="10" t="n">
        <v>0</v>
      </c>
      <c r="I62" s="10" t="n">
        <v>6</v>
      </c>
      <c r="J62" s="10" t="n">
        <v>6</v>
      </c>
      <c r="K62" s="9" t="n">
        <v>0.25</v>
      </c>
      <c r="L62" s="10" t="n">
        <v>1.5</v>
      </c>
      <c r="M62" s="10" t="n">
        <v>4.5</v>
      </c>
      <c r="N62" s="5" t="inlineStr">
        <is>
          <t>«Дарья 16.10.xlsx»: предзаказ на 167 тыс. ₽ с сервисным сбором</t>
        </is>
      </c>
      <c r="O62" s="5" t="inlineStr">
        <is>
          <t>T19</t>
        </is>
      </c>
      <c r="P62" s="14" t="inlineStr"/>
      <c r="Q62" s="14" t="inlineStr"/>
      <c r="R62" s="14" t="inlineStr"/>
    </row>
    <row r="63" ht="60" customHeight="1">
      <c r="A63" s="5" t="inlineStr">
        <is>
          <t>BWI</t>
        </is>
      </c>
      <c r="B63" s="5" t="inlineStr">
        <is>
          <t>Breadway Исеть</t>
        </is>
      </c>
      <c r="C63" s="5" t="inlineStr">
        <is>
          <t>Отчётность: план-факт, БДР, главные отчёты, итоги</t>
        </is>
      </c>
      <c r="D63" s="5" t="inlineStr">
        <is>
          <t>N6</t>
        </is>
      </c>
      <c r="E63" s="5" t="inlineStr">
        <is>
          <t>«Главные отчёты» объекта</t>
        </is>
      </c>
      <c r="F63" s="5" t="inlineStr">
        <is>
          <t>Файл «план ТО» на 1 млн знаков (ЦФО, план)</t>
        </is>
      </c>
      <c r="G63" s="10" t="n">
        <v>0</v>
      </c>
      <c r="H63" s="10" t="n">
        <v>4</v>
      </c>
      <c r="I63" s="10" t="n">
        <v>0</v>
      </c>
      <c r="J63" s="10" t="n">
        <v>4</v>
      </c>
      <c r="K63" s="9" t="n">
        <v>0.5</v>
      </c>
      <c r="L63" s="10" t="n">
        <v>2</v>
      </c>
      <c r="M63" s="10" t="n">
        <v>2</v>
      </c>
      <c r="N63" s="5" t="inlineStr">
        <is>
          <t>«BWI Сентябрь 2026 план ТО» 2,2 МБ, 1 010 тыс. знаков</t>
        </is>
      </c>
      <c r="O63" s="5" t="inlineStr">
        <is>
          <t>T09</t>
        </is>
      </c>
      <c r="P63" s="14" t="inlineStr"/>
      <c r="Q63" s="14" t="inlineStr"/>
      <c r="R63" s="14" t="inlineStr"/>
    </row>
    <row r="64" ht="60" customHeight="1">
      <c r="A64" s="5" t="inlineStr">
        <is>
          <t>BWI</t>
        </is>
      </c>
      <c r="B64" s="5" t="inlineStr">
        <is>
          <t>Breadway Исеть</t>
        </is>
      </c>
      <c r="C64" s="5" t="inlineStr">
        <is>
          <t>Ревизии и потери</t>
        </is>
      </c>
      <c r="D64" s="5" t="inlineStr">
        <is>
          <t>N19</t>
        </is>
      </c>
      <c r="E64" s="5" t="inlineStr">
        <is>
          <t>Ревизии: защитный файл</t>
        </is>
      </c>
      <c r="F64" s="5" t="inlineStr">
        <is>
          <t>Ревизия бара и доля кухни Исеть</t>
        </is>
      </c>
      <c r="G64" s="10" t="n">
        <v>0</v>
      </c>
      <c r="H64" s="10" t="n">
        <v>3</v>
      </c>
      <c r="I64" s="10" t="n">
        <v>0</v>
      </c>
      <c r="J64" s="10" t="n">
        <v>3</v>
      </c>
      <c r="K64" s="9" t="n">
        <v>0.35</v>
      </c>
      <c r="L64" s="10" t="n">
        <v>1.05</v>
      </c>
      <c r="M64" s="10" t="n">
        <v>1.95</v>
      </c>
      <c r="N64" s="5" t="inlineStr">
        <is>
          <t>«GC Ревизии»: Бар BW, Кухня Исеть</t>
        </is>
      </c>
      <c r="O64" s="5" t="inlineStr">
        <is>
          <t>T13</t>
        </is>
      </c>
      <c r="P64" s="14" t="inlineStr"/>
      <c r="Q64" s="14" t="inlineStr"/>
      <c r="R64" s="14" t="inlineStr"/>
    </row>
    <row r="65" ht="60" customHeight="1">
      <c r="A65" s="5" t="inlineStr">
        <is>
          <t>BWI</t>
        </is>
      </c>
      <c r="B65" s="5" t="inlineStr">
        <is>
          <t>Breadway Исеть</t>
        </is>
      </c>
      <c r="C65" s="5" t="inlineStr">
        <is>
          <t>Снабжение и заявки</t>
        </is>
      </c>
      <c r="D65" s="5" t="inlineStr">
        <is>
          <t>N20</t>
        </is>
      </c>
      <c r="E65" s="5" t="inlineStr">
        <is>
          <t>Заявки снабжению и перемещения вне панели</t>
        </is>
      </c>
      <c r="F65" s="5" t="inlineStr">
        <is>
          <t>Заявки снабжению</t>
        </is>
      </c>
      <c r="G65" s="10" t="n">
        <v>0</v>
      </c>
      <c r="H65" s="10" t="n">
        <v>0</v>
      </c>
      <c r="I65" s="10" t="n">
        <v>5</v>
      </c>
      <c r="J65" s="10" t="n">
        <v>5</v>
      </c>
      <c r="K65" s="9" t="n">
        <v>0.3</v>
      </c>
      <c r="L65" s="10" t="n">
        <v>1.5</v>
      </c>
      <c r="M65" s="10" t="n">
        <v>3.5</v>
      </c>
      <c r="N65" s="5" t="inlineStr">
        <is>
          <t>«Заявочные листы Исеть»</t>
        </is>
      </c>
      <c r="O65" s="5" t="inlineStr">
        <is>
          <t>T28</t>
        </is>
      </c>
      <c r="P65" s="14" t="inlineStr"/>
      <c r="Q65" s="14" t="inlineStr"/>
      <c r="R65" s="14" t="inlineStr"/>
    </row>
    <row r="66" ht="60" customHeight="1">
      <c r="A66" s="5" t="inlineStr">
        <is>
          <t>BWI</t>
        </is>
      </c>
      <c r="B66" s="5" t="inlineStr">
        <is>
          <t>Breadway Исеть</t>
        </is>
      </c>
      <c r="C66" s="5" t="inlineStr">
        <is>
          <t>Смена: чек-листы, журналы, касса</t>
        </is>
      </c>
      <c r="D66" s="5" t="inlineStr">
        <is>
          <t>N9</t>
        </is>
      </c>
      <c r="E66" s="5" t="inlineStr">
        <is>
          <t>Чек-листы на бумаге и отчёты в чаты</t>
        </is>
      </c>
      <c r="F66" s="5" t="inlineStr">
        <is>
          <t>Объяснительные фотографиями</t>
        </is>
      </c>
      <c r="G66" s="10" t="n">
        <v>0</v>
      </c>
      <c r="H66" s="10" t="n">
        <v>0</v>
      </c>
      <c r="I66" s="10" t="n">
        <v>1</v>
      </c>
      <c r="J66" s="10" t="n">
        <v>1</v>
      </c>
      <c r="K66" s="9" t="n">
        <v>0.25</v>
      </c>
      <c r="L66" s="10" t="n">
        <v>0.25</v>
      </c>
      <c r="M66" s="10" t="n">
        <v>0.75</v>
      </c>
      <c r="N66" s="5" t="inlineStr">
        <is>
          <t>Папка «Объяснительные»: 7 фото за октябрь</t>
        </is>
      </c>
      <c r="O66" s="5" t="inlineStr">
        <is>
          <t>T14</t>
        </is>
      </c>
      <c r="P66" s="14" t="inlineStr"/>
      <c r="Q66" s="14" t="inlineStr"/>
      <c r="R66" s="14" t="inlineStr"/>
    </row>
    <row r="67" ht="60" customHeight="1">
      <c r="A67" s="5" t="inlineStr">
        <is>
          <t>CHA</t>
        </is>
      </c>
      <c r="B67" s="5" t="inlineStr">
        <is>
          <t>Чаща</t>
        </is>
      </c>
      <c r="C67" s="5" t="inlineStr">
        <is>
          <t>Табель и свод ФОТ</t>
        </is>
      </c>
      <c r="D67" s="5" t="inlineStr">
        <is>
          <t>N1</t>
        </is>
      </c>
      <c r="E67" s="5" t="inlineStr">
        <is>
          <t>Табель: ввод часов</t>
        </is>
      </c>
      <c r="F67" s="5" t="inlineStr">
        <is>
          <t>Табель: ежедневный ввод и закрытие месяца</t>
        </is>
      </c>
      <c r="G67" s="10" t="n">
        <v>0</v>
      </c>
      <c r="H67" s="10" t="n">
        <v>14.5</v>
      </c>
      <c r="I67" s="10" t="n">
        <v>0</v>
      </c>
      <c r="J67" s="10" t="n">
        <v>14.5</v>
      </c>
      <c r="K67" s="9" t="n">
        <v>0.4</v>
      </c>
      <c r="L67" s="10" t="n">
        <v>5.800000000000001</v>
      </c>
      <c r="M67" s="10" t="n">
        <v>8.699999999999999</v>
      </c>
      <c r="N67" s="5" t="inlineStr">
        <is>
          <t>«ТАБЕЛЬ ОНЛАЙН ФОТ ЧАЩА» 2,1 МБ, 369 тыс. знаков; в шапке листа «% ФОТ: 7,7» (ошибка формулы); обновлён 16.10 07:19</t>
        </is>
      </c>
      <c r="O67" s="5" t="inlineStr">
        <is>
          <t>T32</t>
        </is>
      </c>
      <c r="P67" s="14" t="inlineStr"/>
      <c r="Q67" s="14" t="inlineStr"/>
      <c r="R67" s="14" t="inlineStr"/>
    </row>
    <row r="68" ht="60" customHeight="1">
      <c r="A68" s="5" t="inlineStr">
        <is>
          <t>CHA</t>
        </is>
      </c>
      <c r="B68" s="5" t="inlineStr">
        <is>
          <t>Чаща</t>
        </is>
      </c>
      <c r="C68" s="5" t="inlineStr">
        <is>
          <t>План смен и графики</t>
        </is>
      </c>
      <c r="D68" s="5" t="inlineStr">
        <is>
          <t>N2</t>
        </is>
      </c>
      <c r="E68" s="5" t="inlineStr">
        <is>
          <t>Штатное расписание</t>
        </is>
      </c>
      <c r="F68" s="5" t="inlineStr">
        <is>
          <t>Мастер-график (ШР по месяцам) и правки по неделям</t>
        </is>
      </c>
      <c r="G68" s="10" t="n">
        <v>0</v>
      </c>
      <c r="H68" s="10" t="n">
        <v>6</v>
      </c>
      <c r="I68" s="10" t="n">
        <v>3</v>
      </c>
      <c r="J68" s="10" t="n">
        <v>9</v>
      </c>
      <c r="K68" s="9" t="n">
        <v>0.35</v>
      </c>
      <c r="L68" s="10" t="n">
        <v>3.15</v>
      </c>
      <c r="M68" s="10" t="n">
        <v>5.850000000000001</v>
      </c>
      <c r="N68" s="5" t="inlineStr">
        <is>
          <t>«Мастер график Чаща 2026», листы ШР по месяцам, #REF!</t>
        </is>
      </c>
      <c r="O68" s="5" t="inlineStr">
        <is>
          <t>T02</t>
        </is>
      </c>
      <c r="P68" s="14" t="inlineStr"/>
      <c r="Q68" s="14" t="inlineStr"/>
      <c r="R68" s="14" t="inlineStr"/>
    </row>
    <row r="69" ht="60" customHeight="1">
      <c r="A69" s="5" t="inlineStr">
        <is>
          <t>CHA</t>
        </is>
      </c>
      <c r="B69" s="5" t="inlineStr">
        <is>
          <t>Чаща</t>
        </is>
      </c>
      <c r="C69" s="5" t="inlineStr">
        <is>
          <t>Отчётность: план-факт, БДР, главные отчёты, итоги</t>
        </is>
      </c>
      <c r="D69" s="5" t="inlineStr">
        <is>
          <t>N4</t>
        </is>
      </c>
      <c r="E69" s="5" t="inlineStr">
        <is>
          <t>План-факт по дням</t>
        </is>
      </c>
      <c r="F69" s="5" t="inlineStr">
        <is>
          <t>План-факт (строка Чаща)</t>
        </is>
      </c>
      <c r="G69" s="10" t="n">
        <v>1.5</v>
      </c>
      <c r="H69" s="10" t="n">
        <v>0</v>
      </c>
      <c r="I69" s="10" t="n">
        <v>0</v>
      </c>
      <c r="J69" s="10" t="n">
        <v>1.5</v>
      </c>
      <c r="K69" s="9" t="n">
        <v>0.05</v>
      </c>
      <c r="L69" s="10" t="n">
        <v>0.07500000000000001</v>
      </c>
      <c r="M69" s="10" t="n">
        <v>1.425</v>
      </c>
      <c r="N69" s="5" t="inlineStr">
        <is>
          <t>«ПЛАН ФАКТ GC», лист Чаща</t>
        </is>
      </c>
      <c r="O69" s="5" t="inlineStr">
        <is>
          <t>T06</t>
        </is>
      </c>
      <c r="P69" s="14" t="inlineStr"/>
      <c r="Q69" s="14" t="inlineStr"/>
      <c r="R69" s="14" t="inlineStr"/>
    </row>
    <row r="70" ht="60" customHeight="1">
      <c r="A70" s="5" t="inlineStr">
        <is>
          <t>CHA</t>
        </is>
      </c>
      <c r="B70" s="5" t="inlineStr">
        <is>
          <t>Чаща</t>
        </is>
      </c>
      <c r="C70" s="5" t="inlineStr">
        <is>
          <t>Отчётность: план-факт, БДР, главные отчёты, итоги</t>
        </is>
      </c>
      <c r="D70" s="5" t="inlineStr">
        <is>
          <t>N5</t>
        </is>
      </c>
      <c r="E70" s="5" t="inlineStr">
        <is>
          <t>Недельный БДР</t>
        </is>
      </c>
      <c r="F70" s="5" t="inlineStr">
        <is>
          <t>Недельный БДР: 7 строк ФОТ и себестоимость</t>
        </is>
      </c>
      <c r="G70" s="10" t="n">
        <v>5</v>
      </c>
      <c r="H70" s="10" t="n">
        <v>1</v>
      </c>
      <c r="I70" s="10" t="n">
        <v>0</v>
      </c>
      <c r="J70" s="10" t="n">
        <v>6</v>
      </c>
      <c r="K70" s="9" t="n">
        <v>0.1</v>
      </c>
      <c r="L70" s="10" t="n">
        <v>0.6000000000000001</v>
      </c>
      <c r="M70" s="10" t="n">
        <v>5.4</v>
      </c>
      <c r="N70" s="5" t="inlineStr">
        <is>
          <t>Лист ФОТ: АУП, вспомогательные, кухня, кондитерский, зал, клининг, бар ЧАЩА</t>
        </is>
      </c>
      <c r="O70" s="5" t="inlineStr">
        <is>
          <t>T26</t>
        </is>
      </c>
      <c r="P70" s="14" t="inlineStr"/>
      <c r="Q70" s="14" t="inlineStr"/>
      <c r="R70" s="14" t="inlineStr"/>
    </row>
    <row r="71" ht="60" customHeight="1">
      <c r="A71" s="5" t="inlineStr">
        <is>
          <t>CHA</t>
        </is>
      </c>
      <c r="B71" s="5" t="inlineStr">
        <is>
          <t>Чаща</t>
        </is>
      </c>
      <c r="C71" s="5" t="inlineStr">
        <is>
          <t>Отчётность: план-факт, БДР, главные отчёты, итоги</t>
        </is>
      </c>
      <c r="D71" s="5" t="inlineStr">
        <is>
          <t>N6</t>
        </is>
      </c>
      <c r="E71" s="5" t="inlineStr">
        <is>
          <t>«Главные отчёты» объекта</t>
        </is>
      </c>
      <c r="F71" s="5" t="inlineStr">
        <is>
          <t>«Главные отчёты» Чащи</t>
        </is>
      </c>
      <c r="G71" s="10" t="n">
        <v>0</v>
      </c>
      <c r="H71" s="10" t="n">
        <v>3</v>
      </c>
      <c r="I71" s="10" t="n">
        <v>0</v>
      </c>
      <c r="J71" s="10" t="n">
        <v>3</v>
      </c>
      <c r="K71" s="9" t="n">
        <v>0.05</v>
      </c>
      <c r="L71" s="10" t="n">
        <v>0.15</v>
      </c>
      <c r="M71" s="10" t="n">
        <v>2.85</v>
      </c>
      <c r="N71" s="5" t="inlineStr">
        <is>
          <t>«Чаща_ Главные отчеты» 72 КБ</t>
        </is>
      </c>
      <c r="O71" s="5" t="inlineStr">
        <is>
          <t>T06</t>
        </is>
      </c>
      <c r="P71" s="14" t="inlineStr"/>
      <c r="Q71" s="14" t="inlineStr"/>
      <c r="R71" s="14" t="inlineStr"/>
    </row>
    <row r="72" ht="60" customHeight="1">
      <c r="A72" s="5" t="inlineStr">
        <is>
          <t>CHA</t>
        </is>
      </c>
      <c r="B72" s="5" t="inlineStr">
        <is>
          <t>Чаща</t>
        </is>
      </c>
      <c r="C72" s="5" t="inlineStr">
        <is>
          <t>Отчётность: план-факт, БДР, главные отчёты, итоги</t>
        </is>
      </c>
      <c r="D72" s="5" t="inlineStr">
        <is>
          <t>N7</t>
        </is>
      </c>
      <c r="E72" s="5" t="inlineStr">
        <is>
          <t>Итоги месяца</t>
        </is>
      </c>
      <c r="F72" s="5" t="inlineStr">
        <is>
          <t>Итоги месяца (PDF 55 МБ и маркетинг 7 МБ)</t>
        </is>
      </c>
      <c r="G72" s="10" t="n">
        <v>0</v>
      </c>
      <c r="H72" s="10" t="n">
        <v>6</v>
      </c>
      <c r="I72" s="10" t="n">
        <v>0</v>
      </c>
      <c r="J72" s="10" t="n">
        <v>6</v>
      </c>
      <c r="K72" s="9" t="n">
        <v>0.25</v>
      </c>
      <c r="L72" s="10" t="n">
        <v>1.5</v>
      </c>
      <c r="M72" s="10" t="n">
        <v>4.5</v>
      </c>
      <c r="N72" s="5" t="inlineStr">
        <is>
          <t>«Чаща итоги сентябрь 2026.pdf», «ЧАЩА_маркетинг_сентябрь`26.pdf»</t>
        </is>
      </c>
      <c r="O72" s="5" t="inlineStr">
        <is>
          <t>T33</t>
        </is>
      </c>
      <c r="P72" s="14" t="inlineStr"/>
      <c r="Q72" s="14" t="inlineStr"/>
      <c r="R72" s="14" t="inlineStr"/>
    </row>
    <row r="73" ht="60" customHeight="1">
      <c r="A73" s="5" t="inlineStr">
        <is>
          <t>CHA</t>
        </is>
      </c>
      <c r="B73" s="5" t="inlineStr">
        <is>
          <t>Чаща</t>
        </is>
      </c>
      <c r="C73" s="5" t="inlineStr">
        <is>
          <t>Ревизии и потери</t>
        </is>
      </c>
      <c r="D73" s="5" t="inlineStr">
        <is>
          <t>N13</t>
        </is>
      </c>
      <c r="E73" s="5" t="inlineStr">
        <is>
          <t>Журнал проблем (ППР) и реестр отзывов</t>
        </is>
      </c>
      <c r="F73" s="5" t="inlineStr">
        <is>
          <t>Реестр отзывов и NPS из скриншотов чата</t>
        </is>
      </c>
      <c r="G73" s="10" t="n">
        <v>8</v>
      </c>
      <c r="H73" s="10" t="n">
        <v>0</v>
      </c>
      <c r="I73" s="10" t="n">
        <v>0</v>
      </c>
      <c r="J73" s="10" t="n">
        <v>8</v>
      </c>
      <c r="K73" s="9" t="n">
        <v>0.25</v>
      </c>
      <c r="L73" s="10" t="n">
        <v>2</v>
      </c>
      <c r="M73" s="10" t="n">
        <v>6</v>
      </c>
      <c r="N73" s="5" t="inlineStr">
        <is>
          <t>«NPS_Чаща»: 157 эпизодов, «ручная систематизация доступных скриншотов»</t>
        </is>
      </c>
      <c r="O73" s="5" t="inlineStr">
        <is>
          <t>T14 отзывы (из чатов Bitrix24 автоматически)</t>
        </is>
      </c>
      <c r="P73" s="14" t="inlineStr"/>
      <c r="Q73" s="14" t="inlineStr"/>
      <c r="R73" s="14" t="inlineStr"/>
    </row>
    <row r="74" ht="60" customHeight="1">
      <c r="A74" s="5" t="inlineStr">
        <is>
          <t>CHA</t>
        </is>
      </c>
      <c r="B74" s="5" t="inlineStr">
        <is>
          <t>Чаща</t>
        </is>
      </c>
      <c r="C74" s="5" t="inlineStr">
        <is>
          <t>Гости, банкеты, доставка</t>
        </is>
      </c>
      <c r="D74" s="5" t="inlineStr">
        <is>
          <t>N11</t>
        </is>
      </c>
      <c r="E74" s="5" t="inlineStr">
        <is>
          <t>Гостевые списки вручную</t>
        </is>
      </c>
      <c r="F74" s="5" t="inlineStr">
        <is>
          <t>Гостевая база в Excel (предпочтения гостей)</t>
        </is>
      </c>
      <c r="G74" s="10" t="n">
        <v>0</v>
      </c>
      <c r="H74" s="10" t="n">
        <v>0</v>
      </c>
      <c r="I74" s="10" t="n">
        <v>4</v>
      </c>
      <c r="J74" s="10" t="n">
        <v>4</v>
      </c>
      <c r="K74" s="9" t="n">
        <v>0.2</v>
      </c>
      <c r="L74" s="10" t="n">
        <v>0.8</v>
      </c>
      <c r="M74" s="10" t="n">
        <v>3.2</v>
      </c>
      <c r="N74" s="5" t="inlineStr">
        <is>
          <t>«Гостевая база Чащи» 4,9 МБ</t>
        </is>
      </c>
      <c r="O74" s="5" t="inlineStr">
        <is>
          <t>T15 (Prime Hill)</t>
        </is>
      </c>
      <c r="P74" s="14" t="inlineStr"/>
      <c r="Q74" s="14" t="inlineStr"/>
      <c r="R74" s="14" t="inlineStr"/>
    </row>
    <row r="75" ht="60" customHeight="1">
      <c r="A75" s="5" t="inlineStr">
        <is>
          <t>CHA</t>
        </is>
      </c>
      <c r="B75" s="5" t="inlineStr">
        <is>
          <t>Чаща</t>
        </is>
      </c>
      <c r="C75" s="5" t="inlineStr">
        <is>
          <t>Ревизии и потери</t>
        </is>
      </c>
      <c r="D75" s="5" t="inlineStr">
        <is>
          <t>N19</t>
        </is>
      </c>
      <c r="E75" s="5" t="inlineStr">
        <is>
          <t>Ревизии: защитный файл</t>
        </is>
      </c>
      <c r="F75" s="5" t="inlineStr">
        <is>
          <t>Ревизии бара и кухни</t>
        </is>
      </c>
      <c r="G75" s="10" t="n">
        <v>0</v>
      </c>
      <c r="H75" s="10" t="n">
        <v>5</v>
      </c>
      <c r="I75" s="10" t="n">
        <v>0</v>
      </c>
      <c r="J75" s="10" t="n">
        <v>5</v>
      </c>
      <c r="K75" s="9" t="n">
        <v>0.35</v>
      </c>
      <c r="L75" s="10" t="n">
        <v>1.75</v>
      </c>
      <c r="M75" s="10" t="n">
        <v>3.25</v>
      </c>
      <c r="N75" s="5" t="inlineStr">
        <is>
          <t>«GC Ревизии»: Чаща бар, кухня</t>
        </is>
      </c>
      <c r="O75" s="5" t="inlineStr">
        <is>
          <t>T13</t>
        </is>
      </c>
      <c r="P75" s="14" t="inlineStr"/>
      <c r="Q75" s="14" t="inlineStr"/>
      <c r="R75" s="14" t="inlineStr"/>
    </row>
    <row r="76" ht="60" customHeight="1">
      <c r="A76" s="5" t="inlineStr">
        <is>
          <t>CHA</t>
        </is>
      </c>
      <c r="B76" s="5" t="inlineStr">
        <is>
          <t>Чаща</t>
        </is>
      </c>
      <c r="C76" s="5" t="inlineStr">
        <is>
          <t>Снабжение и заявки</t>
        </is>
      </c>
      <c r="D76" s="5" t="inlineStr">
        <is>
          <t>N20</t>
        </is>
      </c>
      <c r="E76" s="5" t="inlineStr">
        <is>
          <t>Заявки снабжению и перемещения вне панели</t>
        </is>
      </c>
      <c r="F76" s="5" t="inlineStr">
        <is>
          <t>Заявки снабжению</t>
        </is>
      </c>
      <c r="G76" s="10" t="n">
        <v>0</v>
      </c>
      <c r="H76" s="10" t="n">
        <v>0</v>
      </c>
      <c r="I76" s="10" t="n">
        <v>5</v>
      </c>
      <c r="J76" s="10" t="n">
        <v>5</v>
      </c>
      <c r="K76" s="9" t="n">
        <v>0.3</v>
      </c>
      <c r="L76" s="10" t="n">
        <v>1.5</v>
      </c>
      <c r="M76" s="10" t="n">
        <v>3.5</v>
      </c>
      <c r="N76" s="5" t="inlineStr">
        <is>
          <t>Снабжение ЧаЩа (папка)</t>
        </is>
      </c>
      <c r="O76" s="5" t="inlineStr">
        <is>
          <t>T28</t>
        </is>
      </c>
      <c r="P76" s="14" t="inlineStr"/>
      <c r="Q76" s="14" t="inlineStr"/>
      <c r="R76" s="14" t="inlineStr"/>
    </row>
    <row r="77" ht="60" customHeight="1">
      <c r="A77" s="5" t="inlineStr">
        <is>
          <t>CHA</t>
        </is>
      </c>
      <c r="B77" s="5" t="inlineStr">
        <is>
          <t>Чаща</t>
        </is>
      </c>
      <c r="C77" s="5" t="inlineStr">
        <is>
          <t>Смена: чек-листы, журналы, касса</t>
        </is>
      </c>
      <c r="D77" s="5" t="inlineStr">
        <is>
          <t>N9</t>
        </is>
      </c>
      <c r="E77" s="5" t="inlineStr">
        <is>
          <t>Чек-листы на бумаге и отчёты в чаты</t>
        </is>
      </c>
      <c r="F77" s="5" t="inlineStr">
        <is>
          <t>Чек-листы и шаги сервиса на бумаге</t>
        </is>
      </c>
      <c r="G77" s="10" t="n">
        <v>0</v>
      </c>
      <c r="H77" s="10" t="n">
        <v>0</v>
      </c>
      <c r="I77" s="10" t="n">
        <v>5</v>
      </c>
      <c r="J77" s="10" t="n">
        <v>5</v>
      </c>
      <c r="K77" s="9" t="n">
        <v>0.33</v>
      </c>
      <c r="L77" s="10" t="n">
        <v>1.65</v>
      </c>
      <c r="M77" s="10" t="n">
        <v>3.35</v>
      </c>
      <c r="N77" s="5" t="inlineStr">
        <is>
          <t>«Чаща Шаги и правила сервиса», «Методики работы»</t>
        </is>
      </c>
      <c r="O77" s="5" t="inlineStr">
        <is>
          <t>T04</t>
        </is>
      </c>
      <c r="P77" s="14" t="inlineStr"/>
      <c r="Q77" s="14" t="inlineStr"/>
      <c r="R77" s="14" t="inlineStr"/>
    </row>
    <row r="78" ht="60" customHeight="1">
      <c r="A78" s="5" t="inlineStr">
        <is>
          <t>TRB</t>
        </is>
      </c>
      <c r="B78" s="5" t="inlineStr">
        <is>
          <t>Трибу</t>
        </is>
      </c>
      <c r="C78" s="5" t="inlineStr">
        <is>
          <t>Табель и свод ФОТ</t>
        </is>
      </c>
      <c r="D78" s="5" t="inlineStr">
        <is>
          <t>N1</t>
        </is>
      </c>
      <c r="E78" s="5" t="inlineStr">
        <is>
          <t>Табель: ввод часов</t>
        </is>
      </c>
      <c r="F78" s="5" t="inlineStr">
        <is>
          <t>Табель: ежедневный ввод и закрытие месяца</t>
        </is>
      </c>
      <c r="G78" s="10" t="n">
        <v>0</v>
      </c>
      <c r="H78" s="10" t="n">
        <v>17.5</v>
      </c>
      <c r="I78" s="10" t="n">
        <v>0</v>
      </c>
      <c r="J78" s="10" t="n">
        <v>17.5</v>
      </c>
      <c r="K78" s="9" t="n">
        <v>0.4</v>
      </c>
      <c r="L78" s="10" t="n">
        <v>7</v>
      </c>
      <c r="M78" s="10" t="n">
        <v>10.5</v>
      </c>
      <c r="N78" s="5" t="inlineStr">
        <is>
          <t>«ОНЛАЙН ТАБЕЛЬ TRIBU 2026» 3,2 МБ, 357 тыс. знаков; в шапке октября «Фот: #REF!», «% ФОТ: #REF!»; обновлён 15.10 23:20</t>
        </is>
      </c>
      <c r="O78" s="5" t="inlineStr">
        <is>
          <t>T32</t>
        </is>
      </c>
      <c r="P78" s="14" t="inlineStr"/>
      <c r="Q78" s="14" t="inlineStr"/>
      <c r="R78" s="14" t="inlineStr"/>
    </row>
    <row r="79" ht="60" customHeight="1">
      <c r="A79" s="5" t="inlineStr">
        <is>
          <t>TRB</t>
        </is>
      </c>
      <c r="B79" s="5" t="inlineStr">
        <is>
          <t>Трибу</t>
        </is>
      </c>
      <c r="C79" s="5" t="inlineStr">
        <is>
          <t>План смен и графики</t>
        </is>
      </c>
      <c r="D79" s="5" t="inlineStr">
        <is>
          <t>N2</t>
        </is>
      </c>
      <c r="E79" s="5" t="inlineStr">
        <is>
          <t>Штатное расписание</t>
        </is>
      </c>
      <c r="F79" s="5" t="inlineStr">
        <is>
          <t>Штатное расписание (8 файлов 2025 и октябрь 2026)</t>
        </is>
      </c>
      <c r="G79" s="10" t="n">
        <v>0</v>
      </c>
      <c r="H79" s="10" t="n">
        <v>6</v>
      </c>
      <c r="I79" s="10" t="n">
        <v>0</v>
      </c>
      <c r="J79" s="10" t="n">
        <v>6</v>
      </c>
      <c r="K79" s="9" t="n">
        <v>0.35</v>
      </c>
      <c r="L79" s="10" t="n">
        <v>2.1</v>
      </c>
      <c r="M79" s="10" t="n">
        <v>3.9</v>
      </c>
      <c r="N79" s="5" t="inlineStr">
        <is>
          <t>TRIBU/ШР TRIBU</t>
        </is>
      </c>
      <c r="O79" s="5" t="inlineStr">
        <is>
          <t>T02</t>
        </is>
      </c>
      <c r="P79" s="14" t="inlineStr"/>
      <c r="Q79" s="14" t="inlineStr"/>
      <c r="R79" s="14" t="inlineStr"/>
    </row>
    <row r="80" ht="60" customHeight="1">
      <c r="A80" s="5" t="inlineStr">
        <is>
          <t>TRB</t>
        </is>
      </c>
      <c r="B80" s="5" t="inlineStr">
        <is>
          <t>Трибу</t>
        </is>
      </c>
      <c r="C80" s="5" t="inlineStr">
        <is>
          <t>Отчётность: план-факт, БДР, главные отчёты, итоги</t>
        </is>
      </c>
      <c r="D80" s="5" t="inlineStr">
        <is>
          <t>N4</t>
        </is>
      </c>
      <c r="E80" s="5" t="inlineStr">
        <is>
          <t>План-факт по дням</t>
        </is>
      </c>
      <c r="F80" s="5" t="inlineStr">
        <is>
          <t>План-факт: строка центрального ввода и собственная копия</t>
        </is>
      </c>
      <c r="G80" s="10" t="n">
        <v>1.5</v>
      </c>
      <c r="H80" s="10" t="n">
        <v>5</v>
      </c>
      <c r="I80" s="10" t="n">
        <v>0</v>
      </c>
      <c r="J80" s="10" t="n">
        <v>6.5</v>
      </c>
      <c r="K80" s="9" t="n">
        <v>0.05</v>
      </c>
      <c r="L80" s="10" t="n">
        <v>0.325</v>
      </c>
      <c r="M80" s="10" t="n">
        <v>6.175</v>
      </c>
      <c r="N80" s="5" t="inlineStr">
        <is>
          <t>«ПЛАН ФАКТ GC», лист Трибу; «План Трибу сентябрь 2026»</t>
        </is>
      </c>
      <c r="O80" s="5" t="inlineStr">
        <is>
          <t>T06</t>
        </is>
      </c>
      <c r="P80" s="14" t="inlineStr"/>
      <c r="Q80" s="14" t="inlineStr"/>
      <c r="R80" s="14" t="inlineStr"/>
    </row>
    <row r="81" ht="60" customHeight="1">
      <c r="A81" s="5" t="inlineStr">
        <is>
          <t>TRB</t>
        </is>
      </c>
      <c r="B81" s="5" t="inlineStr">
        <is>
          <t>Трибу</t>
        </is>
      </c>
      <c r="C81" s="5" t="inlineStr">
        <is>
          <t>Отчётность: план-факт, БДР, главные отчёты, итоги</t>
        </is>
      </c>
      <c r="D81" s="5" t="inlineStr">
        <is>
          <t>N5</t>
        </is>
      </c>
      <c r="E81" s="5" t="inlineStr">
        <is>
          <t>Недельный БДР</t>
        </is>
      </c>
      <c r="F81" s="5" t="inlineStr">
        <is>
          <t>Недельный БДР: 6 строк ФОТ и себестоимость</t>
        </is>
      </c>
      <c r="G81" s="10" t="n">
        <v>4.4</v>
      </c>
      <c r="H81" s="10" t="n">
        <v>1</v>
      </c>
      <c r="I81" s="10" t="n">
        <v>0</v>
      </c>
      <c r="J81" s="10" t="n">
        <v>5.4</v>
      </c>
      <c r="K81" s="9" t="n">
        <v>0.1</v>
      </c>
      <c r="L81" s="10" t="n">
        <v>0.54</v>
      </c>
      <c r="M81" s="10" t="n">
        <v>4.86</v>
      </c>
      <c r="N81" s="5" t="inlineStr">
        <is>
          <t>Лист ФОТ: АУП, Кухня, Офис, Зал, Мойщицы, Бар TB; лист TRIBU</t>
        </is>
      </c>
      <c r="O81" s="5" t="inlineStr">
        <is>
          <t>T26</t>
        </is>
      </c>
      <c r="P81" s="14" t="inlineStr"/>
      <c r="Q81" s="14" t="inlineStr"/>
      <c r="R81" s="14" t="inlineStr"/>
    </row>
    <row r="82" ht="60" customHeight="1">
      <c r="A82" s="5" t="inlineStr">
        <is>
          <t>TRB</t>
        </is>
      </c>
      <c r="B82" s="5" t="inlineStr">
        <is>
          <t>Трибу</t>
        </is>
      </c>
      <c r="C82" s="5" t="inlineStr">
        <is>
          <t>Отчётность: план-факт, БДР, главные отчёты, итоги</t>
        </is>
      </c>
      <c r="D82" s="5" t="inlineStr">
        <is>
          <t>N6</t>
        </is>
      </c>
      <c r="E82" s="5" t="inlineStr">
        <is>
          <t>«Главные отчёты» объекта</t>
        </is>
      </c>
      <c r="F82" s="5" t="inlineStr">
        <is>
          <t>«Главные отчёты» Трибу</t>
        </is>
      </c>
      <c r="G82" s="10" t="n">
        <v>0</v>
      </c>
      <c r="H82" s="10" t="n">
        <v>3</v>
      </c>
      <c r="I82" s="10" t="n">
        <v>0</v>
      </c>
      <c r="J82" s="10" t="n">
        <v>3</v>
      </c>
      <c r="K82" s="9" t="n">
        <v>0.05</v>
      </c>
      <c r="L82" s="10" t="n">
        <v>0.15</v>
      </c>
      <c r="M82" s="10" t="n">
        <v>2.85</v>
      </c>
      <c r="N82" s="5" t="inlineStr">
        <is>
          <t>«TRIBU Главные отчеты» 238 КБ, 90 тыс. знаков</t>
        </is>
      </c>
      <c r="O82" s="5" t="inlineStr">
        <is>
          <t>T06</t>
        </is>
      </c>
      <c r="P82" s="14" t="inlineStr"/>
      <c r="Q82" s="14" t="inlineStr"/>
      <c r="R82" s="14" t="inlineStr"/>
    </row>
    <row r="83" ht="60" customHeight="1">
      <c r="A83" s="5" t="inlineStr">
        <is>
          <t>TRB</t>
        </is>
      </c>
      <c r="B83" s="5" t="inlineStr">
        <is>
          <t>Трибу</t>
        </is>
      </c>
      <c r="C83" s="5" t="inlineStr">
        <is>
          <t>Отчётность: план-факт, БДР, главные отчёты, итоги</t>
        </is>
      </c>
      <c r="D83" s="5" t="inlineStr">
        <is>
          <t>N7</t>
        </is>
      </c>
      <c r="E83" s="5" t="inlineStr">
        <is>
          <t>Итоги месяца</t>
        </is>
      </c>
      <c r="F83" s="5" t="inlineStr">
        <is>
          <t>Итоги месяца</t>
        </is>
      </c>
      <c r="G83" s="10" t="n">
        <v>0</v>
      </c>
      <c r="H83" s="10" t="n">
        <v>2</v>
      </c>
      <c r="I83" s="10" t="n">
        <v>0</v>
      </c>
      <c r="J83" s="10" t="n">
        <v>2</v>
      </c>
      <c r="K83" s="9" t="n">
        <v>0.25</v>
      </c>
      <c r="L83" s="10" t="n">
        <v>0.5</v>
      </c>
      <c r="M83" s="10" t="n">
        <v>1.5</v>
      </c>
      <c r="N83" s="5" t="inlineStr">
        <is>
          <t>В папке планёрок за сентябрь только «TRIBU маркетинг.pdf»</t>
        </is>
      </c>
      <c r="O83" s="5" t="inlineStr">
        <is>
          <t>T33</t>
        </is>
      </c>
      <c r="P83" s="14" t="inlineStr"/>
      <c r="Q83" s="14" t="inlineStr"/>
      <c r="R83" s="14" t="inlineStr"/>
    </row>
    <row r="84" ht="60" customHeight="1">
      <c r="A84" s="5" t="inlineStr">
        <is>
          <t>TRB</t>
        </is>
      </c>
      <c r="B84" s="5" t="inlineStr">
        <is>
          <t>Трибу</t>
        </is>
      </c>
      <c r="C84" s="5" t="inlineStr">
        <is>
          <t>Смена: чек-листы, журналы, касса</t>
        </is>
      </c>
      <c r="D84" s="5" t="inlineStr">
        <is>
          <t>N9</t>
        </is>
      </c>
      <c r="E84" s="5" t="inlineStr">
        <is>
          <t>Чек-листы на бумаге и отчёты в чаты</t>
        </is>
      </c>
      <c r="F84" s="5" t="inlineStr">
        <is>
          <t>План дня менеджера зала и «восьмёрки» на бумаге</t>
        </is>
      </c>
      <c r="G84" s="10" t="n">
        <v>0</v>
      </c>
      <c r="H84" s="10" t="n">
        <v>0</v>
      </c>
      <c r="I84" s="10" t="n">
        <v>7.5</v>
      </c>
      <c r="J84" s="10" t="n">
        <v>7.5</v>
      </c>
      <c r="K84" s="9" t="n">
        <v>0.33</v>
      </c>
      <c r="L84" s="10" t="n">
        <v>2.475</v>
      </c>
      <c r="M84" s="10" t="n">
        <v>5.024999999999999</v>
      </c>
      <c r="N84" s="5" t="inlineStr">
        <is>
          <t>«План дня МЗ ТРИБУ» (трекер по часам), «8-ка менеджер зала TRIBU»</t>
        </is>
      </c>
      <c r="O84" s="5" t="inlineStr">
        <is>
          <t>T04</t>
        </is>
      </c>
      <c r="P84" s="14" t="inlineStr"/>
      <c r="Q84" s="14" t="inlineStr"/>
      <c r="R84" s="14" t="inlineStr"/>
    </row>
    <row r="85" ht="60" customHeight="1">
      <c r="A85" s="5" t="inlineStr">
        <is>
          <t>TRB</t>
        </is>
      </c>
      <c r="B85" s="5" t="inlineStr">
        <is>
          <t>Трибу</t>
        </is>
      </c>
      <c r="C85" s="5" t="inlineStr">
        <is>
          <t>Смена: чек-листы, журналы, касса</t>
        </is>
      </c>
      <c r="D85" s="5" t="inlineStr">
        <is>
          <t>N21</t>
        </is>
      </c>
      <c r="E85" s="5" t="inlineStr">
        <is>
          <t>Кассовые отчёты и инкассация вручную</t>
        </is>
      </c>
      <c r="F85" s="5" t="inlineStr">
        <is>
          <t>Инкассация в центральный офис ежедневно и документы из файла</t>
        </is>
      </c>
      <c r="G85" s="10" t="n">
        <v>0</v>
      </c>
      <c r="H85" s="10" t="n">
        <v>0</v>
      </c>
      <c r="I85" s="10" t="n">
        <v>10</v>
      </c>
      <c r="J85" s="10" t="n">
        <v>10</v>
      </c>
      <c r="K85" s="9" t="n">
        <v>0.3</v>
      </c>
      <c r="L85" s="10" t="n">
        <v>3</v>
      </c>
      <c r="M85" s="10" t="n">
        <v>7</v>
      </c>
      <c r="N85" s="5" t="inlineStr">
        <is>
          <t>«План дня МЗ ТРИБУ»: 12:05–12:15 «унести в центральный офис инкассацию + доки»</t>
        </is>
      </c>
      <c r="O85" s="5" t="inlineStr">
        <is>
          <t>T05 и бот с фото</t>
        </is>
      </c>
      <c r="P85" s="14" t="inlineStr"/>
      <c r="Q85" s="14" t="inlineStr"/>
      <c r="R85" s="14" t="inlineStr"/>
    </row>
    <row r="86" ht="60" customHeight="1">
      <c r="A86" s="5" t="inlineStr">
        <is>
          <t>TRB</t>
        </is>
      </c>
      <c r="B86" s="5" t="inlineStr">
        <is>
          <t>Трибу</t>
        </is>
      </c>
      <c r="C86" s="5" t="inlineStr">
        <is>
          <t>Смена: чек-листы, журналы, касса</t>
        </is>
      </c>
      <c r="D86" s="5" t="inlineStr">
        <is>
          <t>N9</t>
        </is>
      </c>
      <c r="E86" s="5" t="inlineStr">
        <is>
          <t>Чек-листы на бумаге и отчёты в чаты</t>
        </is>
      </c>
      <c r="F86" s="5" t="inlineStr">
        <is>
          <t>Стоп- и старт-листы, отзывы в чаты вручную</t>
        </is>
      </c>
      <c r="G86" s="10" t="n">
        <v>0</v>
      </c>
      <c r="H86" s="10" t="n">
        <v>0</v>
      </c>
      <c r="I86" s="10" t="n">
        <v>5</v>
      </c>
      <c r="J86" s="10" t="n">
        <v>5</v>
      </c>
      <c r="K86" s="9" t="n">
        <v>0.25</v>
      </c>
      <c r="L86" s="10" t="n">
        <v>1.25</v>
      </c>
      <c r="M86" s="10" t="n">
        <v>3.75</v>
      </c>
      <c r="N86" s="5" t="inlineStr">
        <is>
          <t>План дня: «отправить инфу о стопах в чат в Битриксе», «отзывы в чат Feedback»</t>
        </is>
      </c>
      <c r="O86" s="5" t="inlineStr">
        <is>
          <t>T01 карточка объекта, T14</t>
        </is>
      </c>
      <c r="P86" s="14" t="inlineStr"/>
      <c r="Q86" s="14" t="inlineStr"/>
      <c r="R86" s="14" t="inlineStr"/>
    </row>
    <row r="87" ht="60" customHeight="1">
      <c r="A87" s="5" t="inlineStr">
        <is>
          <t>TRB</t>
        </is>
      </c>
      <c r="B87" s="5" t="inlineStr">
        <is>
          <t>Трибу</t>
        </is>
      </c>
      <c r="C87" s="5" t="inlineStr">
        <is>
          <t>Снабжение и заявки</t>
        </is>
      </c>
      <c r="D87" s="5" t="inlineStr">
        <is>
          <t>N10</t>
        </is>
      </c>
      <c r="E87" s="5" t="inlineStr">
        <is>
          <t>Бюджет хозтоваров и упаковки</t>
        </is>
      </c>
      <c r="F87" s="5" t="inlineStr">
        <is>
          <t>Контроль бюджета хозтоваров Трибу</t>
        </is>
      </c>
      <c r="G87" s="10" t="n">
        <v>4</v>
      </c>
      <c r="H87" s="10" t="n">
        <v>0</v>
      </c>
      <c r="I87" s="10" t="n">
        <v>0</v>
      </c>
      <c r="J87" s="10" t="n">
        <v>4</v>
      </c>
      <c r="K87" s="9" t="n">
        <v>0.3</v>
      </c>
      <c r="L87" s="10" t="n">
        <v>1.2</v>
      </c>
      <c r="M87" s="10" t="n">
        <v>2.8</v>
      </c>
      <c r="N87" s="5" t="inlineStr">
        <is>
          <t>«Контроль бюджета хозов и упаковки Трибу», обновлён 13.10</t>
        </is>
      </c>
      <c r="O87" s="5" t="inlineStr">
        <is>
          <t>T28</t>
        </is>
      </c>
      <c r="P87" s="14" t="inlineStr"/>
      <c r="Q87" s="14" t="inlineStr"/>
      <c r="R87" s="14" t="inlineStr"/>
    </row>
    <row r="88" ht="60" customHeight="1">
      <c r="A88" s="5" t="inlineStr">
        <is>
          <t>TRB</t>
        </is>
      </c>
      <c r="B88" s="5" t="inlineStr">
        <is>
          <t>Трибу</t>
        </is>
      </c>
      <c r="C88" s="5" t="inlineStr">
        <is>
          <t>Ревизии и потери</t>
        </is>
      </c>
      <c r="D88" s="5" t="inlineStr">
        <is>
          <t>N19</t>
        </is>
      </c>
      <c r="E88" s="5" t="inlineStr">
        <is>
          <t>Ревизии: защитный файл</t>
        </is>
      </c>
      <c r="F88" s="5" t="inlineStr">
        <is>
          <t>Ревизии бара и кухни</t>
        </is>
      </c>
      <c r="G88" s="10" t="n">
        <v>0</v>
      </c>
      <c r="H88" s="10" t="n">
        <v>5</v>
      </c>
      <c r="I88" s="10" t="n">
        <v>0</v>
      </c>
      <c r="J88" s="10" t="n">
        <v>5</v>
      </c>
      <c r="K88" s="9" t="n">
        <v>0.35</v>
      </c>
      <c r="L88" s="10" t="n">
        <v>1.75</v>
      </c>
      <c r="M88" s="10" t="n">
        <v>3.25</v>
      </c>
      <c r="N88" s="5" t="inlineStr">
        <is>
          <t>«GC Ревизии»: Трибу бар, кухня</t>
        </is>
      </c>
      <c r="O88" s="5" t="inlineStr">
        <is>
          <t>T13</t>
        </is>
      </c>
      <c r="P88" s="14" t="inlineStr"/>
      <c r="Q88" s="14" t="inlineStr"/>
      <c r="R88" s="14" t="inlineStr"/>
    </row>
    <row r="89" ht="60" customHeight="1">
      <c r="A89" s="5" t="inlineStr">
        <is>
          <t>TRB</t>
        </is>
      </c>
      <c r="B89" s="5" t="inlineStr">
        <is>
          <t>Трибу</t>
        </is>
      </c>
      <c r="C89" s="5" t="inlineStr">
        <is>
          <t>Снабжение и заявки</t>
        </is>
      </c>
      <c r="D89" s="5" t="inlineStr">
        <is>
          <t>N20</t>
        </is>
      </c>
      <c r="E89" s="5" t="inlineStr">
        <is>
          <t>Заявки снабжению и перемещения вне панели</t>
        </is>
      </c>
      <c r="F89" s="5" t="inlineStr">
        <is>
          <t>Заявки снабжению (матрица продуктов)</t>
        </is>
      </c>
      <c r="G89" s="10" t="n">
        <v>0</v>
      </c>
      <c r="H89" s="10" t="n">
        <v>0</v>
      </c>
      <c r="I89" s="10" t="n">
        <v>5</v>
      </c>
      <c r="J89" s="10" t="n">
        <v>5</v>
      </c>
      <c r="K89" s="9" t="n">
        <v>0.3</v>
      </c>
      <c r="L89" s="10" t="n">
        <v>1.5</v>
      </c>
      <c r="M89" s="10" t="n">
        <v>3.5</v>
      </c>
      <c r="N89" s="5" t="inlineStr">
        <is>
          <t>«Трибу матрица продукты», «Трибу хозы и упаковка»</t>
        </is>
      </c>
      <c r="O89" s="5" t="inlineStr">
        <is>
          <t>T28</t>
        </is>
      </c>
      <c r="P89" s="14" t="inlineStr"/>
      <c r="Q89" s="14" t="inlineStr"/>
      <c r="R89" s="14" t="inlineStr"/>
    </row>
    <row r="90" ht="60" customHeight="1">
      <c r="A90" s="5" t="inlineStr">
        <is>
          <t>BWN</t>
        </is>
      </c>
      <c r="B90" s="5" t="inlineStr">
        <is>
          <t>Breadway Нагорный</t>
        </is>
      </c>
      <c r="C90" s="5" t="inlineStr">
        <is>
          <t>Табель и свод ФОТ</t>
        </is>
      </c>
      <c r="D90" s="5" t="inlineStr">
        <is>
          <t>N1</t>
        </is>
      </c>
      <c r="E90" s="5" t="inlineStr">
        <is>
          <t>Табель: ввод часов</t>
        </is>
      </c>
      <c r="F90" s="5" t="inlineStr">
        <is>
          <t>Табель: ежедневный ввод, просчёт кухни по неделям, закрытие месяца</t>
        </is>
      </c>
      <c r="G90" s="10" t="n">
        <v>0</v>
      </c>
      <c r="H90" s="10" t="n">
        <v>19.5</v>
      </c>
      <c r="I90" s="10" t="n">
        <v>0</v>
      </c>
      <c r="J90" s="10" t="n">
        <v>19.5</v>
      </c>
      <c r="K90" s="9" t="n">
        <v>0.4</v>
      </c>
      <c r="L90" s="10" t="n">
        <v>7.800000000000001</v>
      </c>
      <c r="M90" s="10" t="n">
        <v>11.7</v>
      </c>
      <c r="N90" s="5" t="inlineStr">
        <is>
          <t>«ТАБЕЛЬ ОКТЯБРЬ 2026» 2,6 МБ, 276 тыс. знаков, листы «просчёт» и «Кухня … ФОТ» по неделям, #REF!; в начале файла листы другого объекта за февраль–июнь; обновлён 16.10 09:01</t>
        </is>
      </c>
      <c r="O90" s="5" t="inlineStr">
        <is>
          <t>T32</t>
        </is>
      </c>
      <c r="P90" s="14" t="inlineStr"/>
      <c r="Q90" s="14" t="inlineStr"/>
      <c r="R90" s="14" t="inlineStr"/>
    </row>
    <row r="91" ht="60" customHeight="1">
      <c r="A91" s="5" t="inlineStr">
        <is>
          <t>BWN</t>
        </is>
      </c>
      <c r="B91" s="5" t="inlineStr">
        <is>
          <t>Breadway Нагорный</t>
        </is>
      </c>
      <c r="C91" s="5" t="inlineStr">
        <is>
          <t>Табель и свод ФОТ</t>
        </is>
      </c>
      <c r="D91" s="5" t="inlineStr">
        <is>
          <t>N17</t>
        </is>
      </c>
      <c r="E91" s="5" t="inlineStr">
        <is>
          <t>Фуд-календарь и план ФОТ по цехам</t>
        </is>
      </c>
      <c r="F91" s="5" t="inlineStr">
        <is>
          <t>Фуд-календарь по неделям и план ФОТ по цехам</t>
        </is>
      </c>
      <c r="G91" s="10" t="n">
        <v>0</v>
      </c>
      <c r="H91" s="10" t="n">
        <v>6</v>
      </c>
      <c r="I91" s="10" t="n">
        <v>0</v>
      </c>
      <c r="J91" s="10" t="n">
        <v>6</v>
      </c>
      <c r="K91" s="9" t="n">
        <v>0.3</v>
      </c>
      <c r="L91" s="10" t="n">
        <v>1.8</v>
      </c>
      <c r="M91" s="10" t="n">
        <v>4.199999999999999</v>
      </c>
      <c r="N91" s="5" t="inlineStr">
        <is>
          <t>«Табель и AP» 4,7 МБ, 542 тыс. знаков: лист ФБК Сентябрь 26, план ФОТ зал/кухня/КЦ</t>
        </is>
      </c>
      <c r="O91" s="5" t="inlineStr">
        <is>
          <t>T01 и T32</t>
        </is>
      </c>
      <c r="P91" s="14" t="inlineStr"/>
      <c r="Q91" s="14" t="inlineStr"/>
      <c r="R91" s="14" t="inlineStr"/>
    </row>
    <row r="92" ht="60" customHeight="1">
      <c r="A92" s="5" t="inlineStr">
        <is>
          <t>BWN</t>
        </is>
      </c>
      <c r="B92" s="5" t="inlineStr">
        <is>
          <t>Breadway Нагорный</t>
        </is>
      </c>
      <c r="C92" s="5" t="inlineStr">
        <is>
          <t>План смен и графики</t>
        </is>
      </c>
      <c r="D92" s="5" t="inlineStr">
        <is>
          <t>N2</t>
        </is>
      </c>
      <c r="E92" s="5" t="inlineStr">
        <is>
          <t>Штатное расписание</t>
        </is>
      </c>
      <c r="F92" s="5" t="inlineStr">
        <is>
          <t>Штатное расписание</t>
        </is>
      </c>
      <c r="G92" s="10" t="n">
        <v>0</v>
      </c>
      <c r="H92" s="10" t="n">
        <v>6</v>
      </c>
      <c r="I92" s="10" t="n">
        <v>0</v>
      </c>
      <c r="J92" s="10" t="n">
        <v>6</v>
      </c>
      <c r="K92" s="9" t="n">
        <v>0.35</v>
      </c>
      <c r="L92" s="10" t="n">
        <v>2.1</v>
      </c>
      <c r="M92" s="10" t="n">
        <v>3.9</v>
      </c>
      <c r="N92" s="5" t="inlineStr">
        <is>
          <t>«ШР Нагорный 2026» 940 КБ, 104 тыс. знаков</t>
        </is>
      </c>
      <c r="O92" s="5" t="inlineStr">
        <is>
          <t>T02</t>
        </is>
      </c>
      <c r="P92" s="14" t="inlineStr"/>
      <c r="Q92" s="14" t="inlineStr"/>
      <c r="R92" s="14" t="inlineStr"/>
    </row>
    <row r="93" ht="60" customHeight="1">
      <c r="A93" s="5" t="inlineStr">
        <is>
          <t>BWN</t>
        </is>
      </c>
      <c r="B93" s="5" t="inlineStr">
        <is>
          <t>Breadway Нагорный</t>
        </is>
      </c>
      <c r="C93" s="5" t="inlineStr">
        <is>
          <t>Отчётность: план-факт, БДР, главные отчёты, итоги</t>
        </is>
      </c>
      <c r="D93" s="5" t="inlineStr">
        <is>
          <t>N4</t>
        </is>
      </c>
      <c r="E93" s="5" t="inlineStr">
        <is>
          <t>План-факт по дням</t>
        </is>
      </c>
      <c r="F93" s="5" t="inlineStr">
        <is>
          <t>План-факт (строка BWN)</t>
        </is>
      </c>
      <c r="G93" s="10" t="n">
        <v>1.5</v>
      </c>
      <c r="H93" s="10" t="n">
        <v>0</v>
      </c>
      <c r="I93" s="10" t="n">
        <v>0</v>
      </c>
      <c r="J93" s="10" t="n">
        <v>1.5</v>
      </c>
      <c r="K93" s="9" t="n">
        <v>0.05</v>
      </c>
      <c r="L93" s="10" t="n">
        <v>0.07500000000000001</v>
      </c>
      <c r="M93" s="10" t="n">
        <v>1.425</v>
      </c>
      <c r="N93" s="5" t="inlineStr">
        <is>
          <t>«ПЛАН ФАКТ GC», лист BWN с утро/вечер</t>
        </is>
      </c>
      <c r="O93" s="5" t="inlineStr">
        <is>
          <t>T06</t>
        </is>
      </c>
      <c r="P93" s="14" t="inlineStr"/>
      <c r="Q93" s="14" t="inlineStr"/>
      <c r="R93" s="14" t="inlineStr"/>
    </row>
    <row r="94" ht="60" customHeight="1">
      <c r="A94" s="5" t="inlineStr">
        <is>
          <t>BWN</t>
        </is>
      </c>
      <c r="B94" s="5" t="inlineStr">
        <is>
          <t>Breadway Нагорный</t>
        </is>
      </c>
      <c r="C94" s="5" t="inlineStr">
        <is>
          <t>Отчётность: план-факт, БДР, главные отчёты, итоги</t>
        </is>
      </c>
      <c r="D94" s="5" t="inlineStr">
        <is>
          <t>N5</t>
        </is>
      </c>
      <c r="E94" s="5" t="inlineStr">
        <is>
          <t>Недельный БДР</t>
        </is>
      </c>
      <c r="F94" s="5" t="inlineStr">
        <is>
          <t>Недельный БДР: 6 строк ФОТ и себестоимость</t>
        </is>
      </c>
      <c r="G94" s="10" t="n">
        <v>4.4</v>
      </c>
      <c r="H94" s="10" t="n">
        <v>1</v>
      </c>
      <c r="I94" s="10" t="n">
        <v>0</v>
      </c>
      <c r="J94" s="10" t="n">
        <v>5.4</v>
      </c>
      <c r="K94" s="9" t="n">
        <v>0.1</v>
      </c>
      <c r="L94" s="10" t="n">
        <v>0.54</v>
      </c>
      <c r="M94" s="10" t="n">
        <v>4.86</v>
      </c>
      <c r="N94" s="5" t="inlineStr">
        <is>
          <t>Лист ФОТ: АУП, Кухня, Кондитерский, Зал, Бар, ФК BW Nagorny; лист Breadway Nagorny</t>
        </is>
      </c>
      <c r="O94" s="5" t="inlineStr">
        <is>
          <t>T26</t>
        </is>
      </c>
      <c r="P94" s="14" t="inlineStr"/>
      <c r="Q94" s="14" t="inlineStr"/>
      <c r="R94" s="14" t="inlineStr"/>
    </row>
    <row r="95" ht="60" customHeight="1">
      <c r="A95" s="5" t="inlineStr">
        <is>
          <t>BWN</t>
        </is>
      </c>
      <c r="B95" s="5" t="inlineStr">
        <is>
          <t>Breadway Нагорный</t>
        </is>
      </c>
      <c r="C95" s="5" t="inlineStr">
        <is>
          <t>Отчётность: план-факт, БДР, главные отчёты, итоги</t>
        </is>
      </c>
      <c r="D95" s="5" t="inlineStr">
        <is>
          <t>N6</t>
        </is>
      </c>
      <c r="E95" s="5" t="inlineStr">
        <is>
          <t>«Главные отчёты» объекта</t>
        </is>
      </c>
      <c r="F95" s="5" t="inlineStr">
        <is>
          <t>«Главные отчёты» (лист гостевой Нагорный в файле BWI)</t>
        </is>
      </c>
      <c r="G95" s="10" t="n">
        <v>0</v>
      </c>
      <c r="H95" s="10" t="n">
        <v>2</v>
      </c>
      <c r="I95" s="10" t="n">
        <v>0</v>
      </c>
      <c r="J95" s="10" t="n">
        <v>2</v>
      </c>
      <c r="K95" s="9" t="n">
        <v>0.05</v>
      </c>
      <c r="L95" s="10" t="n">
        <v>0.1</v>
      </c>
      <c r="M95" s="10" t="n">
        <v>1.9</v>
      </c>
      <c r="N95" s="5" t="inlineStr">
        <is>
          <t>«ГЛАВНЫЕ_ОТЧЁТЫ_BWI», лист гостевой Нагорный; ручные поправки внутри формул (G14 = 5999−731)</t>
        </is>
      </c>
      <c r="O95" s="5" t="inlineStr">
        <is>
          <t>T06</t>
        </is>
      </c>
      <c r="P95" s="14" t="inlineStr"/>
      <c r="Q95" s="14" t="inlineStr"/>
      <c r="R95" s="14" t="inlineStr"/>
    </row>
    <row r="96" ht="60" customHeight="1">
      <c r="A96" s="5" t="inlineStr">
        <is>
          <t>BWN</t>
        </is>
      </c>
      <c r="B96" s="5" t="inlineStr">
        <is>
          <t>Breadway Нагорный</t>
        </is>
      </c>
      <c r="C96" s="5" t="inlineStr">
        <is>
          <t>Отчётность: план-факт, БДР, главные отчёты, итоги</t>
        </is>
      </c>
      <c r="D96" s="5" t="inlineStr">
        <is>
          <t>N7</t>
        </is>
      </c>
      <c r="E96" s="5" t="inlineStr">
        <is>
          <t>Итоги месяца</t>
        </is>
      </c>
      <c r="F96" s="5" t="inlineStr">
        <is>
          <t>Бланк руководителей и презентация итогов</t>
        </is>
      </c>
      <c r="G96" s="10" t="n">
        <v>0</v>
      </c>
      <c r="H96" s="10" t="n">
        <v>7</v>
      </c>
      <c r="I96" s="10" t="n">
        <v>0</v>
      </c>
      <c r="J96" s="10" t="n">
        <v>7</v>
      </c>
      <c r="K96" s="9" t="n">
        <v>0.25</v>
      </c>
      <c r="L96" s="10" t="n">
        <v>1.75</v>
      </c>
      <c r="M96" s="10" t="n">
        <v>5.25</v>
      </c>
      <c r="N96" s="5" t="inlineStr">
        <is>
          <t>«BREADWAY Нагорный Ежемесячный бланк руководителей», «BREADWAY Нагорный Сентябрь 2026.pdf»</t>
        </is>
      </c>
      <c r="O96" s="5" t="inlineStr">
        <is>
          <t>T33</t>
        </is>
      </c>
      <c r="P96" s="14" t="inlineStr"/>
      <c r="Q96" s="14" t="inlineStr"/>
      <c r="R96" s="14" t="inlineStr"/>
    </row>
    <row r="97" ht="60" customHeight="1">
      <c r="A97" s="5" t="inlineStr">
        <is>
          <t>BWN</t>
        </is>
      </c>
      <c r="B97" s="5" t="inlineStr">
        <is>
          <t>Breadway Нагорный</t>
        </is>
      </c>
      <c r="C97" s="5" t="inlineStr">
        <is>
          <t>Снабжение и заявки</t>
        </is>
      </c>
      <c r="D97" s="5" t="inlineStr">
        <is>
          <t>N10</t>
        </is>
      </c>
      <c r="E97" s="5" t="inlineStr">
        <is>
          <t>Бюджет хозтоваров и упаковки</t>
        </is>
      </c>
      <c r="F97" s="5" t="inlineStr">
        <is>
          <t>Бюджет контроля хозтоваров и упаковки</t>
        </is>
      </c>
      <c r="G97" s="10" t="n">
        <v>0</v>
      </c>
      <c r="H97" s="10" t="n">
        <v>4</v>
      </c>
      <c r="I97" s="10" t="n">
        <v>0</v>
      </c>
      <c r="J97" s="10" t="n">
        <v>4</v>
      </c>
      <c r="K97" s="9" t="n">
        <v>0.3</v>
      </c>
      <c r="L97" s="10" t="n">
        <v>1.2</v>
      </c>
      <c r="M97" s="10" t="n">
        <v>2.8</v>
      </c>
      <c r="N97" s="5" t="inlineStr">
        <is>
          <t>«Бюджет контроля хоз. товара и упаковки» 131 КБ, обновлён 09.10</t>
        </is>
      </c>
      <c r="O97" s="5" t="inlineStr">
        <is>
          <t>T28</t>
        </is>
      </c>
      <c r="P97" s="14" t="inlineStr"/>
      <c r="Q97" s="14" t="inlineStr"/>
      <c r="R97" s="14" t="inlineStr"/>
    </row>
    <row r="98" ht="60" customHeight="1">
      <c r="A98" s="5" t="inlineStr">
        <is>
          <t>BWN</t>
        </is>
      </c>
      <c r="B98" s="5" t="inlineStr">
        <is>
          <t>Breadway Нагорный</t>
        </is>
      </c>
      <c r="C98" s="5" t="inlineStr">
        <is>
          <t>Ревизии и потери</t>
        </is>
      </c>
      <c r="D98" s="5" t="inlineStr">
        <is>
          <t>N19</t>
        </is>
      </c>
      <c r="E98" s="5" t="inlineStr">
        <is>
          <t>Ревизии: защитный файл</t>
        </is>
      </c>
      <c r="F98" s="5" t="inlineStr">
        <is>
          <t>Ревизии бара и кухни</t>
        </is>
      </c>
      <c r="G98" s="10" t="n">
        <v>0</v>
      </c>
      <c r="H98" s="10" t="n">
        <v>5</v>
      </c>
      <c r="I98" s="10" t="n">
        <v>0</v>
      </c>
      <c r="J98" s="10" t="n">
        <v>5</v>
      </c>
      <c r="K98" s="9" t="n">
        <v>0.35</v>
      </c>
      <c r="L98" s="10" t="n">
        <v>1.75</v>
      </c>
      <c r="M98" s="10" t="n">
        <v>3.25</v>
      </c>
      <c r="N98" s="5" t="inlineStr">
        <is>
          <t>«GC Ревизии»: Нагорный бар, кухня</t>
        </is>
      </c>
      <c r="O98" s="5" t="inlineStr">
        <is>
          <t>T13</t>
        </is>
      </c>
      <c r="P98" s="14" t="inlineStr"/>
      <c r="Q98" s="14" t="inlineStr"/>
      <c r="R98" s="14" t="inlineStr"/>
    </row>
    <row r="99" ht="60" customHeight="1">
      <c r="A99" s="5" t="inlineStr">
        <is>
          <t>BWN</t>
        </is>
      </c>
      <c r="B99" s="5" t="inlineStr">
        <is>
          <t>Breadway Нагорный</t>
        </is>
      </c>
      <c r="C99" s="5" t="inlineStr">
        <is>
          <t>Снабжение и заявки</t>
        </is>
      </c>
      <c r="D99" s="5" t="inlineStr">
        <is>
          <t>N20</t>
        </is>
      </c>
      <c r="E99" s="5" t="inlineStr">
        <is>
          <t>Заявки снабжению и перемещения вне панели</t>
        </is>
      </c>
      <c r="F99" s="5" t="inlineStr">
        <is>
          <t>Заявки снабжению</t>
        </is>
      </c>
      <c r="G99" s="10" t="n">
        <v>0</v>
      </c>
      <c r="H99" s="10" t="n">
        <v>0</v>
      </c>
      <c r="I99" s="10" t="n">
        <v>5</v>
      </c>
      <c r="J99" s="10" t="n">
        <v>5</v>
      </c>
      <c r="K99" s="9" t="n">
        <v>0.3</v>
      </c>
      <c r="L99" s="10" t="n">
        <v>1.5</v>
      </c>
      <c r="M99" s="10" t="n">
        <v>3.5</v>
      </c>
      <c r="N99" s="5" t="inlineStr">
        <is>
          <t>Снабжение Нагорный (папка)</t>
        </is>
      </c>
      <c r="O99" s="5" t="inlineStr">
        <is>
          <t>T28</t>
        </is>
      </c>
      <c r="P99" s="14" t="inlineStr"/>
      <c r="Q99" s="14" t="inlineStr"/>
      <c r="R99" s="14" t="inlineStr"/>
    </row>
    <row r="100" ht="60" customHeight="1">
      <c r="A100" s="5" t="inlineStr">
        <is>
          <t>BAR</t>
        </is>
      </c>
      <c r="B100" s="5" t="inlineStr">
        <is>
          <t>the Barbara</t>
        </is>
      </c>
      <c r="C100" s="5" t="inlineStr">
        <is>
          <t>Табель и свод ФОТ</t>
        </is>
      </c>
      <c r="D100" s="5" t="inlineStr">
        <is>
          <t>N1</t>
        </is>
      </c>
      <c r="E100" s="5" t="inlineStr">
        <is>
          <t>Табель: ввод часов</t>
        </is>
      </c>
      <c r="F100" s="5" t="inlineStr">
        <is>
          <t>Табель: ежедневный ввод и закрытие месяца (около 95 человек)</t>
        </is>
      </c>
      <c r="G100" s="10" t="n">
        <v>0</v>
      </c>
      <c r="H100" s="10" t="n">
        <v>24.5</v>
      </c>
      <c r="I100" s="10" t="n">
        <v>0</v>
      </c>
      <c r="J100" s="10" t="n">
        <v>24.5</v>
      </c>
      <c r="K100" s="9" t="n">
        <v>0.4</v>
      </c>
      <c r="L100" s="10" t="n">
        <v>9.800000000000001</v>
      </c>
      <c r="M100" s="10" t="n">
        <v>14.7</v>
      </c>
      <c r="N100" s="5" t="inlineStr">
        <is>
          <t>«ТАБЕЛЬ ОНЛАЙН ФОТ» 3,8 МБ, 557 тыс. знаков; два итога ФОТ в шапке (1,04 и 1,75 млн); обновлён 16.10 09:41</t>
        </is>
      </c>
      <c r="O100" s="5" t="inlineStr">
        <is>
          <t>T32</t>
        </is>
      </c>
      <c r="P100" s="14" t="inlineStr"/>
      <c r="Q100" s="14" t="inlineStr"/>
      <c r="R100" s="14" t="inlineStr"/>
    </row>
    <row r="101" ht="60" customHeight="1">
      <c r="A101" s="5" t="inlineStr">
        <is>
          <t>BAR</t>
        </is>
      </c>
      <c r="B101" s="5" t="inlineStr">
        <is>
          <t>the Barbara</t>
        </is>
      </c>
      <c r="C101" s="5" t="inlineStr">
        <is>
          <t>План смен и графики</t>
        </is>
      </c>
      <c r="D101" s="5" t="inlineStr">
        <is>
          <t>N2</t>
        </is>
      </c>
      <c r="E101" s="5" t="inlineStr">
        <is>
          <t>Штатное расписание</t>
        </is>
      </c>
      <c r="F101" s="5" t="inlineStr">
        <is>
          <t>Штатное расписание (часть ШР Исеть)</t>
        </is>
      </c>
      <c r="G101" s="10" t="n">
        <v>0</v>
      </c>
      <c r="H101" s="10" t="n">
        <v>6</v>
      </c>
      <c r="I101" s="10" t="n">
        <v>0</v>
      </c>
      <c r="J101" s="10" t="n">
        <v>6</v>
      </c>
      <c r="K101" s="9" t="n">
        <v>0.35</v>
      </c>
      <c r="L101" s="10" t="n">
        <v>2.1</v>
      </c>
      <c r="M101" s="10" t="n">
        <v>3.9</v>
      </c>
      <c r="N101" s="5" t="inlineStr">
        <is>
          <t>«ШР ноябрь Исеть»</t>
        </is>
      </c>
      <c r="O101" s="5" t="inlineStr">
        <is>
          <t>T02</t>
        </is>
      </c>
      <c r="P101" s="14" t="inlineStr"/>
      <c r="Q101" s="14" t="inlineStr"/>
      <c r="R101" s="14" t="inlineStr"/>
    </row>
    <row r="102" ht="60" customHeight="1">
      <c r="A102" s="5" t="inlineStr">
        <is>
          <t>BAR</t>
        </is>
      </c>
      <c r="B102" s="5" t="inlineStr">
        <is>
          <t>the Barbara</t>
        </is>
      </c>
      <c r="C102" s="5" t="inlineStr">
        <is>
          <t>Отчётность: план-факт, БДР, главные отчёты, итоги</t>
        </is>
      </c>
      <c r="D102" s="5" t="inlineStr">
        <is>
          <t>N4</t>
        </is>
      </c>
      <c r="E102" s="5" t="inlineStr">
        <is>
          <t>План-факт по дням</t>
        </is>
      </c>
      <c r="F102" s="5" t="inlineStr">
        <is>
          <t>План-факт (строка Barbara)</t>
        </is>
      </c>
      <c r="G102" s="10" t="n">
        <v>1.5</v>
      </c>
      <c r="H102" s="10" t="n">
        <v>0</v>
      </c>
      <c r="I102" s="10" t="n">
        <v>0</v>
      </c>
      <c r="J102" s="10" t="n">
        <v>1.5</v>
      </c>
      <c r="K102" s="9" t="n">
        <v>0.05</v>
      </c>
      <c r="L102" s="10" t="n">
        <v>0.07500000000000001</v>
      </c>
      <c r="M102" s="10" t="n">
        <v>1.425</v>
      </c>
      <c r="N102" s="5" t="inlineStr">
        <is>
          <t>«ПЛАН ФАКТ GC», лист Barbara</t>
        </is>
      </c>
      <c r="O102" s="5" t="inlineStr">
        <is>
          <t>T06</t>
        </is>
      </c>
      <c r="P102" s="14" t="inlineStr"/>
      <c r="Q102" s="14" t="inlineStr"/>
      <c r="R102" s="14" t="inlineStr"/>
    </row>
    <row r="103" ht="60" customHeight="1">
      <c r="A103" s="5" t="inlineStr">
        <is>
          <t>BAR</t>
        </is>
      </c>
      <c r="B103" s="5" t="inlineStr">
        <is>
          <t>the Barbara</t>
        </is>
      </c>
      <c r="C103" s="5" t="inlineStr">
        <is>
          <t>Отчётность: план-факт, БДР, главные отчёты, итоги</t>
        </is>
      </c>
      <c r="D103" s="5" t="inlineStr">
        <is>
          <t>N5</t>
        </is>
      </c>
      <c r="E103" s="5" t="inlineStr">
        <is>
          <t>Недельный БДР</t>
        </is>
      </c>
      <c r="F103" s="5" t="inlineStr">
        <is>
          <t>Недельный БДР: 5 строк ФОТ и себестоимость</t>
        </is>
      </c>
      <c r="G103" s="10" t="n">
        <v>3.9</v>
      </c>
      <c r="H103" s="10" t="n">
        <v>1</v>
      </c>
      <c r="I103" s="10" t="n">
        <v>0</v>
      </c>
      <c r="J103" s="10" t="n">
        <v>4.9</v>
      </c>
      <c r="K103" s="9" t="n">
        <v>0.1</v>
      </c>
      <c r="L103" s="10" t="n">
        <v>0.49</v>
      </c>
      <c r="M103" s="10" t="n">
        <v>4.41</v>
      </c>
      <c r="N103" s="5" t="inlineStr">
        <is>
          <t>Лист ФОТ: АУП, Кухня, Кондитерский, Зал, Бар Барбара; лист Себес Barbara</t>
        </is>
      </c>
      <c r="O103" s="5" t="inlineStr">
        <is>
          <t>T26</t>
        </is>
      </c>
      <c r="P103" s="14" t="inlineStr"/>
      <c r="Q103" s="14" t="inlineStr"/>
      <c r="R103" s="14" t="inlineStr"/>
    </row>
    <row r="104" ht="60" customHeight="1">
      <c r="A104" s="5" t="inlineStr">
        <is>
          <t>BAR</t>
        </is>
      </c>
      <c r="B104" s="5" t="inlineStr">
        <is>
          <t>the Barbara</t>
        </is>
      </c>
      <c r="C104" s="5" t="inlineStr">
        <is>
          <t>Отчётность: план-факт, БДР, главные отчёты, итоги</t>
        </is>
      </c>
      <c r="D104" s="5" t="inlineStr">
        <is>
          <t>N6</t>
        </is>
      </c>
      <c r="E104" s="5" t="inlineStr">
        <is>
          <t>«Главные отчёты» объекта</t>
        </is>
      </c>
      <c r="F104" s="5" t="inlineStr">
        <is>
          <t>«Главные отчёты» Barbara и отчёт товарооборота (маркетинг)</t>
        </is>
      </c>
      <c r="G104" s="10" t="n">
        <v>6</v>
      </c>
      <c r="H104" s="10" t="n">
        <v>3</v>
      </c>
      <c r="I104" s="10" t="n">
        <v>0</v>
      </c>
      <c r="J104" s="10" t="n">
        <v>9</v>
      </c>
      <c r="K104" s="9" t="n">
        <v>0.05</v>
      </c>
      <c r="L104" s="10" t="n">
        <v>0.45</v>
      </c>
      <c r="M104" s="10" t="n">
        <v>8.549999999999999</v>
      </c>
      <c r="N104" s="5" t="inlineStr">
        <is>
          <t>«the BARBARA главные отчеты» 91 КБ; «the_BARBARA_товарооборот» 458 КБ, 232 тыс. знаков, лист «Ввод данных» вручную 1-го числа</t>
        </is>
      </c>
      <c r="O104" s="5" t="inlineStr">
        <is>
          <t>T06 и T17</t>
        </is>
      </c>
      <c r="P104" s="14" t="inlineStr"/>
      <c r="Q104" s="14" t="inlineStr"/>
      <c r="R104" s="14" t="inlineStr"/>
    </row>
    <row r="105" ht="60" customHeight="1">
      <c r="A105" s="5" t="inlineStr">
        <is>
          <t>BAR</t>
        </is>
      </c>
      <c r="B105" s="5" t="inlineStr">
        <is>
          <t>the Barbara</t>
        </is>
      </c>
      <c r="C105" s="5" t="inlineStr">
        <is>
          <t>Отчётность: план-факт, БДР, главные отчёты, итоги</t>
        </is>
      </c>
      <c r="D105" s="5" t="inlineStr">
        <is>
          <t>N7</t>
        </is>
      </c>
      <c r="E105" s="5" t="inlineStr">
        <is>
          <t>Итоги месяца</t>
        </is>
      </c>
      <c r="F105" s="5" t="inlineStr">
        <is>
          <t>Итоги месяца (презентация и отчёт PDF 12,8 МБ)</t>
        </is>
      </c>
      <c r="G105" s="10" t="n">
        <v>0</v>
      </c>
      <c r="H105" s="10" t="n">
        <v>6</v>
      </c>
      <c r="I105" s="10" t="n">
        <v>0</v>
      </c>
      <c r="J105" s="10" t="n">
        <v>6</v>
      </c>
      <c r="K105" s="9" t="n">
        <v>0.25</v>
      </c>
      <c r="L105" s="10" t="n">
        <v>1.5</v>
      </c>
      <c r="M105" s="10" t="n">
        <v>4.5</v>
      </c>
      <c r="N105" s="5" t="inlineStr">
        <is>
          <t>«Итоги Сентябрь Барбара 2026.pptx», «отчет сентябрь the barbara.pdf»</t>
        </is>
      </c>
      <c r="O105" s="5" t="inlineStr">
        <is>
          <t>T33</t>
        </is>
      </c>
      <c r="P105" s="14" t="inlineStr"/>
      <c r="Q105" s="14" t="inlineStr"/>
      <c r="R105" s="14" t="inlineStr"/>
    </row>
    <row r="106" ht="60" customHeight="1">
      <c r="A106" s="5" t="inlineStr">
        <is>
          <t>BAR</t>
        </is>
      </c>
      <c r="B106" s="5" t="inlineStr">
        <is>
          <t>the Barbara</t>
        </is>
      </c>
      <c r="C106" s="5" t="inlineStr">
        <is>
          <t>Отчётность: план-факт, БДР, главные отчёты, итоги</t>
        </is>
      </c>
      <c r="D106" s="5" t="inlineStr">
        <is>
          <t>N14</t>
        </is>
      </c>
      <c r="E106" s="5" t="inlineStr">
        <is>
          <t>Дорожная карта месяца</t>
        </is>
      </c>
      <c r="F106" s="5" t="inlineStr">
        <is>
          <t>Дорожная карта PR в файле главных отчётов</t>
        </is>
      </c>
      <c r="G106" s="10" t="n">
        <v>2</v>
      </c>
      <c r="H106" s="10" t="n">
        <v>0</v>
      </c>
      <c r="I106" s="10" t="n">
        <v>0</v>
      </c>
      <c r="J106" s="10" t="n">
        <v>2</v>
      </c>
      <c r="K106" s="9" t="n">
        <v>0.3</v>
      </c>
      <c r="L106" s="10" t="n">
        <v>0.6</v>
      </c>
      <c r="M106" s="10" t="n">
        <v>1.4</v>
      </c>
      <c r="N106" s="5" t="inlineStr">
        <is>
          <t>Лист «PR (дорожная карта)»</t>
        </is>
      </c>
      <c r="O106" s="5" t="inlineStr">
        <is>
          <t>T24</t>
        </is>
      </c>
      <c r="P106" s="14" t="inlineStr"/>
      <c r="Q106" s="14" t="inlineStr"/>
      <c r="R106" s="14" t="inlineStr"/>
    </row>
    <row r="107" ht="60" customHeight="1">
      <c r="A107" s="5" t="inlineStr">
        <is>
          <t>BAR</t>
        </is>
      </c>
      <c r="B107" s="5" t="inlineStr">
        <is>
          <t>the Barbara</t>
        </is>
      </c>
      <c r="C107" s="5" t="inlineStr">
        <is>
          <t>Ревизии и потери</t>
        </is>
      </c>
      <c r="D107" s="5" t="inlineStr">
        <is>
          <t>N19</t>
        </is>
      </c>
      <c r="E107" s="5" t="inlineStr">
        <is>
          <t>Ревизии: защитный файл</t>
        </is>
      </c>
      <c r="F107" s="5" t="inlineStr">
        <is>
          <t>Ревизии бара и кухни Исеть</t>
        </is>
      </c>
      <c r="G107" s="10" t="n">
        <v>0</v>
      </c>
      <c r="H107" s="10" t="n">
        <v>5</v>
      </c>
      <c r="I107" s="10" t="n">
        <v>0</v>
      </c>
      <c r="J107" s="10" t="n">
        <v>5</v>
      </c>
      <c r="K107" s="9" t="n">
        <v>0.35</v>
      </c>
      <c r="L107" s="10" t="n">
        <v>1.75</v>
      </c>
      <c r="M107" s="10" t="n">
        <v>3.25</v>
      </c>
      <c r="N107" s="5" t="inlineStr">
        <is>
          <t>«GC Ревизии»: Бар BB, Кухня Исеть</t>
        </is>
      </c>
      <c r="O107" s="5" t="inlineStr">
        <is>
          <t>T13</t>
        </is>
      </c>
      <c r="P107" s="14" t="inlineStr"/>
      <c r="Q107" s="14" t="inlineStr"/>
      <c r="R107" s="14" t="inlineStr"/>
    </row>
    <row r="108" ht="60" customHeight="1">
      <c r="A108" s="5" t="inlineStr">
        <is>
          <t>BAR</t>
        </is>
      </c>
      <c r="B108" s="5" t="inlineStr">
        <is>
          <t>the Barbara</t>
        </is>
      </c>
      <c r="C108" s="5" t="inlineStr">
        <is>
          <t>Снабжение и заявки</t>
        </is>
      </c>
      <c r="D108" s="5" t="inlineStr">
        <is>
          <t>N20</t>
        </is>
      </c>
      <c r="E108" s="5" t="inlineStr">
        <is>
          <t>Заявки снабжению и перемещения вне панели</t>
        </is>
      </c>
      <c r="F108" s="5" t="inlineStr">
        <is>
          <t>Заявки снабжению</t>
        </is>
      </c>
      <c r="G108" s="10" t="n">
        <v>0</v>
      </c>
      <c r="H108" s="10" t="n">
        <v>0</v>
      </c>
      <c r="I108" s="10" t="n">
        <v>5</v>
      </c>
      <c r="J108" s="10" t="n">
        <v>5</v>
      </c>
      <c r="K108" s="9" t="n">
        <v>0.3</v>
      </c>
      <c r="L108" s="10" t="n">
        <v>1.5</v>
      </c>
      <c r="M108" s="10" t="n">
        <v>3.5</v>
      </c>
      <c r="N108" s="5" t="inlineStr">
        <is>
          <t>«Заявочные листы Исеть»</t>
        </is>
      </c>
      <c r="O108" s="5" t="inlineStr">
        <is>
          <t>T28</t>
        </is>
      </c>
      <c r="P108" s="14" t="inlineStr"/>
      <c r="Q108" s="14" t="inlineStr"/>
      <c r="R108" s="14" t="inlineStr"/>
    </row>
    <row r="109" ht="60" customHeight="1">
      <c r="A109" s="5" t="inlineStr">
        <is>
          <t>BAR</t>
        </is>
      </c>
      <c r="B109" s="5" t="inlineStr">
        <is>
          <t>the Barbara</t>
        </is>
      </c>
      <c r="C109" s="5" t="inlineStr">
        <is>
          <t>Смена: чек-листы, журналы, касса</t>
        </is>
      </c>
      <c r="D109" s="5" t="inlineStr">
        <is>
          <t>N9</t>
        </is>
      </c>
      <c r="E109" s="5" t="inlineStr">
        <is>
          <t>Чек-листы на бумаге и отчёты в чаты</t>
        </is>
      </c>
      <c r="F109" s="5" t="inlineStr">
        <is>
          <t>Пятиминутка и чек-листы на бумаге</t>
        </is>
      </c>
      <c r="G109" s="10" t="n">
        <v>0</v>
      </c>
      <c r="H109" s="10" t="n">
        <v>0</v>
      </c>
      <c r="I109" s="10" t="n">
        <v>5</v>
      </c>
      <c r="J109" s="10" t="n">
        <v>5</v>
      </c>
      <c r="K109" s="9" t="n">
        <v>0.3</v>
      </c>
      <c r="L109" s="10" t="n">
        <v>1.5</v>
      </c>
      <c r="M109" s="10" t="n">
        <v>3.5</v>
      </c>
      <c r="N109" s="5" t="inlineStr">
        <is>
          <t>«5 минутка Барбара», стандарты менеджера (PDF)</t>
        </is>
      </c>
      <c r="O109" s="5" t="inlineStr">
        <is>
          <t>T04 и T01</t>
        </is>
      </c>
      <c r="P109" s="14" t="inlineStr"/>
      <c r="Q109" s="14" t="inlineStr"/>
      <c r="R109" s="14" t="inlineStr"/>
    </row>
    <row r="110" ht="60" customHeight="1">
      <c r="A110" s="5" t="inlineStr">
        <is>
          <t>BAR</t>
        </is>
      </c>
      <c r="B110" s="5" t="inlineStr">
        <is>
          <t>the Barbara</t>
        </is>
      </c>
      <c r="C110" s="5" t="inlineStr">
        <is>
          <t>Снабжение и заявки</t>
        </is>
      </c>
      <c r="D110" s="5" t="inlineStr">
        <is>
          <t>N10</t>
        </is>
      </c>
      <c r="E110" s="5" t="inlineStr">
        <is>
          <t>Бюджет хозтоваров и упаковки</t>
        </is>
      </c>
      <c r="F110" s="5" t="inlineStr">
        <is>
          <t>Бюджет хозтоваров (доля в файле «Хозтовары Исеть»)</t>
        </is>
      </c>
      <c r="G110" s="10" t="n">
        <v>1</v>
      </c>
      <c r="H110" s="10" t="n">
        <v>0</v>
      </c>
      <c r="I110" s="10" t="n">
        <v>0</v>
      </c>
      <c r="J110" s="10" t="n">
        <v>1</v>
      </c>
      <c r="K110" s="9" t="n">
        <v>0.3</v>
      </c>
      <c r="L110" s="10" t="n">
        <v>0.3</v>
      </c>
      <c r="M110" s="10" t="n">
        <v>0.7</v>
      </c>
      <c r="N110" s="5" t="inlineStr">
        <is>
          <t>«Хозтовары Исеть», столбец Барбара</t>
        </is>
      </c>
      <c r="O110" s="5" t="inlineStr">
        <is>
          <t>T28</t>
        </is>
      </c>
      <c r="P110" s="14" t="inlineStr"/>
      <c r="Q110" s="14" t="inlineStr"/>
      <c r="R110" s="14" t="inlineStr"/>
    </row>
    <row r="111" ht="60" customHeight="1">
      <c r="A111" s="5" t="inlineStr">
        <is>
          <t>FK</t>
        </is>
      </c>
      <c r="B111" s="5" t="inlineStr">
        <is>
          <t>Башня: фабрика-кухня и офис (общие службы)</t>
        </is>
      </c>
      <c r="C111" s="5" t="inlineStr">
        <is>
          <t>Отчётность: план-факт, БДР, главные отчёты, итоги</t>
        </is>
      </c>
      <c r="D111" s="5" t="inlineStr">
        <is>
          <t>N5</t>
        </is>
      </c>
      <c r="E111" s="5" t="inlineStr">
        <is>
          <t>Недельный БДР</t>
        </is>
      </c>
      <c r="F111" s="5" t="inlineStr">
        <is>
          <t>Недельный БДР: 8 строк ФОТ фабрики-кухни и офиса</t>
        </is>
      </c>
      <c r="G111" s="10" t="n">
        <v>4.6</v>
      </c>
      <c r="H111" s="10" t="n">
        <v>0</v>
      </c>
      <c r="I111" s="10" t="n">
        <v>0</v>
      </c>
      <c r="J111" s="10" t="n">
        <v>4.6</v>
      </c>
      <c r="K111" s="9" t="n">
        <v>0.1</v>
      </c>
      <c r="L111" s="10" t="n">
        <v>0.46</v>
      </c>
      <c r="M111" s="10" t="n">
        <v>4.14</v>
      </c>
      <c r="N111" s="5" t="inlineStr">
        <is>
          <t>Лист ФОТ: ФК, Офис, гардероб и охрана ФК, мойщицы ФК, кондитерский ФК, АУП ФК</t>
        </is>
      </c>
      <c r="O111" s="5" t="inlineStr">
        <is>
          <t>T26</t>
        </is>
      </c>
      <c r="P111" s="14" t="inlineStr"/>
      <c r="Q111" s="14" t="inlineStr"/>
      <c r="R111" s="14" t="inlineStr"/>
    </row>
    <row r="112" ht="60" customHeight="1">
      <c r="A112" s="5" t="inlineStr">
        <is>
          <t>FK</t>
        </is>
      </c>
      <c r="B112" s="5" t="inlineStr">
        <is>
          <t>Башня: фабрика-кухня и офис (общие службы)</t>
        </is>
      </c>
      <c r="C112" s="5" t="inlineStr">
        <is>
          <t>План смен и графики</t>
        </is>
      </c>
      <c r="D112" s="5" t="inlineStr">
        <is>
          <t>N2</t>
        </is>
      </c>
      <c r="E112" s="5" t="inlineStr">
        <is>
          <t>Штатное расписание</t>
        </is>
      </c>
      <c r="F112" s="5" t="inlineStr">
        <is>
          <t>Штатное расписание фабрики-кухни и офиса</t>
        </is>
      </c>
      <c r="G112" s="10" t="n">
        <v>0</v>
      </c>
      <c r="H112" s="10" t="n">
        <v>6</v>
      </c>
      <c r="I112" s="10" t="n">
        <v>0</v>
      </c>
      <c r="J112" s="10" t="n">
        <v>6</v>
      </c>
      <c r="K112" s="9" t="n">
        <v>0.35</v>
      </c>
      <c r="L112" s="10" t="n">
        <v>2.1</v>
      </c>
      <c r="M112" s="10" t="n">
        <v>3.9</v>
      </c>
      <c r="N112" s="5" t="inlineStr">
        <is>
          <t>«ШР ноябрь Исеть», листы ОФИС и ФК</t>
        </is>
      </c>
      <c r="O112" s="5" t="inlineStr">
        <is>
          <t>T02</t>
        </is>
      </c>
      <c r="P112" s="14" t="inlineStr"/>
      <c r="Q112" s="14" t="inlineStr"/>
      <c r="R112" s="14" t="inlineStr"/>
    </row>
    <row r="113" ht="60" customHeight="1">
      <c r="A113" s="5" t="inlineStr">
        <is>
          <t>FK</t>
        </is>
      </c>
      <c r="B113" s="5" t="inlineStr">
        <is>
          <t>Башня: фабрика-кухня и офис (общие службы)</t>
        </is>
      </c>
      <c r="C113" s="5" t="inlineStr">
        <is>
          <t>Снабжение и заявки</t>
        </is>
      </c>
      <c r="D113" s="5" t="inlineStr">
        <is>
          <t>N10</t>
        </is>
      </c>
      <c r="E113" s="5" t="inlineStr">
        <is>
          <t>Бюджет хозтоваров и упаковки</t>
        </is>
      </c>
      <c r="F113" s="5" t="inlineStr">
        <is>
          <t>Хозтовары Исеть (общий файл снабжения)</t>
        </is>
      </c>
      <c r="G113" s="10" t="n">
        <v>4</v>
      </c>
      <c r="H113" s="10" t="n">
        <v>0</v>
      </c>
      <c r="I113" s="10" t="n">
        <v>0</v>
      </c>
      <c r="J113" s="10" t="n">
        <v>4</v>
      </c>
      <c r="K113" s="9" t="n">
        <v>0.3</v>
      </c>
      <c r="L113" s="10" t="n">
        <v>1.2</v>
      </c>
      <c r="M113" s="10" t="n">
        <v>2.8</v>
      </c>
      <c r="N113" s="5" t="inlineStr">
        <is>
          <t>«Хозтовары Исеть» 238 КБ, обновлён 16.10</t>
        </is>
      </c>
      <c r="O113" s="5" t="inlineStr">
        <is>
          <t>T28</t>
        </is>
      </c>
      <c r="P113" s="14" t="inlineStr"/>
      <c r="Q113" s="14" t="inlineStr"/>
      <c r="R113" s="14" t="inlineStr"/>
    </row>
    <row r="114">
      <c r="A114" s="11" t="inlineStr">
        <is>
          <t>ИТОГО</t>
        </is>
      </c>
      <c r="G114" s="13">
        <f>SUM(G5:G113)</f>
        <v/>
      </c>
      <c r="H114" s="13">
        <f>SUM(H5:H113)</f>
        <v/>
      </c>
      <c r="I114" s="13">
        <f>SUM(I5:I113)</f>
        <v/>
      </c>
      <c r="J114" s="13">
        <f>SUM(J5:J113)</f>
        <v/>
      </c>
      <c r="L114" s="13">
        <f>SUM(L5:L113)</f>
        <v/>
      </c>
      <c r="M114" s="13">
        <f>SUM(M5:M113)</f>
        <v/>
      </c>
    </row>
  </sheetData>
  <dataValidations count="1">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showDropDown="0" showInputMessage="0" showErrorMessage="0" allowBlank="1" type="list">
      <formula1>"убрать,упростить,перенести в систему,оставить"</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24" customWidth="1" min="3" max="3"/>
    <col width="26" customWidth="1" min="4" max="4"/>
    <col width="60" customWidth="1" min="5" max="5"/>
    <col width="9" customWidth="1" min="6" max="6"/>
    <col width="9" customWidth="1" min="7" max="7"/>
    <col width="10" customWidth="1" min="8" max="8"/>
    <col width="11" customWidth="1" min="9" max="9"/>
    <col width="16" customWidth="1" min="10" max="10"/>
    <col width="16" customWidth="1" min="11" max="11"/>
    <col width="18" customWidth="1" min="12" max="12"/>
    <col width="12" customWidth="1" min="13" max="13"/>
    <col width="12" customWidth="1" min="14" max="14"/>
    <col width="30" customWidth="1" min="15" max="15"/>
  </cols>
  <sheetData>
    <row r="1">
      <c r="A1" s="1" t="inlineStr">
        <is>
          <t>Участки: предприятие и группа операций, по убыванию ожидаемого эффекта</t>
        </is>
      </c>
    </row>
    <row r="2">
      <c r="A2" s="2" t="inlineStr">
        <is>
          <t>Один участок — одно предприятие и одна группа операций. Часы — оценка по файлам. Статус и даты заполняет Ирина.</t>
        </is>
      </c>
    </row>
    <row r="4" ht="40" customHeight="1">
      <c r="A4" s="3" t="inlineStr">
        <is>
          <t>Место по эффекту</t>
        </is>
      </c>
      <c r="B4" s="3" t="inlineStr">
        <is>
          <t>Код предприятия</t>
        </is>
      </c>
      <c r="C4" s="3" t="inlineStr">
        <is>
          <t>Предприятие</t>
        </is>
      </c>
      <c r="D4" s="3" t="inlineStr">
        <is>
          <t>Участок</t>
        </is>
      </c>
      <c r="E4" s="3" t="inlineStr">
        <is>
          <t>Операции участка</t>
        </is>
      </c>
      <c r="F4" s="3" t="inlineStr">
        <is>
          <t>Часов сейчас (оценка)</t>
        </is>
      </c>
      <c r="G4" s="3" t="inlineStr">
        <is>
          <t>Часов после (оценка)</t>
        </is>
      </c>
      <c r="H4" s="3" t="inlineStr">
        <is>
          <t>Освобождается, часов в месяц</t>
        </is>
      </c>
      <c r="I4" s="3" t="inlineStr">
        <is>
          <t>Освобождается, ₽ в месяц</t>
        </is>
      </c>
      <c r="J4" s="3" t="inlineStr">
        <is>
          <t>Инструменты-замены</t>
        </is>
      </c>
      <c r="K4" s="3" t="inlineStr">
        <is>
          <t>Статус</t>
        </is>
      </c>
      <c r="L4" s="3" t="inlineStr">
        <is>
          <t>Проводник на объекте</t>
        </is>
      </c>
      <c r="M4" s="3" t="inlineStr">
        <is>
          <t>Дата следующего шага</t>
        </is>
      </c>
      <c r="N4" s="3" t="inlineStr">
        <is>
          <t>Часы после замера (факт)</t>
        </is>
      </c>
      <c r="O4" s="3" t="inlineStr">
        <is>
          <t>Комментарий ИД</t>
        </is>
      </c>
    </row>
    <row r="5" ht="64" customHeight="1">
      <c r="A5" s="5" t="n">
        <v>1</v>
      </c>
      <c r="B5" s="5" t="inlineStr">
        <is>
          <t>KOR</t>
        </is>
      </c>
      <c r="C5" s="5" t="inlineStr">
        <is>
          <t>Корнеры «Главного» (3 точки)</t>
        </is>
      </c>
      <c r="D5" s="5" t="inlineStr">
        <is>
          <t>Смена: чек-листы, журналы, касса</t>
        </is>
      </c>
      <c r="E5" s="5" t="inlineStr">
        <is>
          <t>Чек-листы открытия и закрытия на бумаге на трёх точках; Покупюрный бланк и кассовые отчёты на трёх точках</t>
        </is>
      </c>
      <c r="F5" s="10" t="n">
        <v>45</v>
      </c>
      <c r="G5" s="10" t="n">
        <v>14.4</v>
      </c>
      <c r="H5" s="10" t="n">
        <v>30.6</v>
      </c>
      <c r="I5" s="8" t="n">
        <v>11628</v>
      </c>
      <c r="J5" s="5" t="inlineStr">
        <is>
          <t>T04, T05</t>
        </is>
      </c>
      <c r="K5" s="14" t="inlineStr"/>
      <c r="L5" s="14" t="inlineStr"/>
      <c r="M5" s="14" t="inlineStr"/>
      <c r="N5" s="15" t="inlineStr"/>
      <c r="O5" s="14" t="inlineStr"/>
    </row>
    <row r="6" ht="64" customHeight="1">
      <c r="A6" s="5" t="n">
        <v>2</v>
      </c>
      <c r="B6" s="5" t="inlineStr">
        <is>
          <t>ENC</t>
        </is>
      </c>
      <c r="C6" s="5" t="inlineStr">
        <is>
          <t>Анкор (Encore-cafe)</t>
        </is>
      </c>
      <c r="D6" s="5" t="inlineStr">
        <is>
          <t>Смена: чек-листы, журналы, касса</t>
        </is>
      </c>
      <c r="E6" s="5" t="inlineStr">
        <is>
          <t>Чек-лист менеджера по часам (около 30 пунктов) и отчёты в 8 чатов трёх мессенджеров; Чек-листы открытия, закрытия, генеральной уборки (6 файлов); Журнал развоза и рационов; Кассовые отчёты: РКО, отчёты 048, объяснительные, фото в чаты «рко» и «выручка»</t>
        </is>
      </c>
      <c r="F6" s="10" t="n">
        <v>42</v>
      </c>
      <c r="G6" s="10" t="n">
        <v>12.41</v>
      </c>
      <c r="H6" s="10" t="n">
        <v>29.59</v>
      </c>
      <c r="I6" s="8" t="n">
        <v>11244</v>
      </c>
      <c r="J6" s="5" t="inlineStr">
        <is>
          <t>T04, T05, T27, T28</t>
        </is>
      </c>
      <c r="K6" s="14" t="inlineStr"/>
      <c r="L6" s="14" t="inlineStr"/>
      <c r="M6" s="14" t="inlineStr"/>
      <c r="N6" s="15" t="inlineStr"/>
      <c r="O6" s="14" t="inlineStr"/>
    </row>
    <row r="7" ht="64" customHeight="1">
      <c r="A7" s="5" t="n">
        <v>3</v>
      </c>
      <c r="B7" s="5" t="inlineStr">
        <is>
          <t>DEL</t>
        </is>
      </c>
      <c r="C7" s="5" t="inlineStr">
        <is>
          <t>Доставка (Исеть и Нагорный)</t>
        </is>
      </c>
      <c r="D7" s="5" t="inlineStr">
        <is>
          <t>Отчётность: план-факт, БДР, главные отчёты, итоги</t>
        </is>
      </c>
      <c r="E7" s="5" t="inlineStr">
        <is>
          <t>План-факт: 2 строки центрального ввода и собственная копия; Недельный БДР: 8 строк ФОТ доставки и себестоимость; «Главные отчёты DELIVERY»; Итоги месяца; Дорожная карта доставки в Excel; Аналитические файлы вручную (ROI, Яндекс, продукты)</t>
        </is>
      </c>
      <c r="F7" s="10" t="n">
        <v>25.6</v>
      </c>
      <c r="G7" s="10" t="n">
        <v>3.01</v>
      </c>
      <c r="H7" s="10" t="n">
        <v>22.59</v>
      </c>
      <c r="I7" s="8" t="n">
        <v>13948</v>
      </c>
      <c r="J7" s="5" t="inlineStr">
        <is>
          <t>T06, T24, T26, T27, T33</t>
        </is>
      </c>
      <c r="K7" s="14" t="inlineStr"/>
      <c r="L7" s="14" t="inlineStr"/>
      <c r="M7" s="14" t="inlineStr"/>
      <c r="N7" s="15" t="inlineStr"/>
      <c r="O7" s="14" t="inlineStr"/>
    </row>
    <row r="8" ht="64" customHeight="1">
      <c r="A8" s="5" t="n">
        <v>4</v>
      </c>
      <c r="B8" s="5" t="inlineStr">
        <is>
          <t>BAR</t>
        </is>
      </c>
      <c r="C8" s="5" t="inlineStr">
        <is>
          <t>the Barbara</t>
        </is>
      </c>
      <c r="D8" s="5" t="inlineStr">
        <is>
          <t>Отчётность: план-факт, БДР, главные отчёты, итоги</t>
        </is>
      </c>
      <c r="E8" s="5" t="inlineStr">
        <is>
          <t>План-факт (строка Barbara); Недельный БДР: 5 строк ФОТ и себестоимость; «Главные отчёты» Barbara и отчёт товарооборота (маркетинг); Итоги месяца (презентация и отчёт PDF 12,8 МБ); Дорожная карта PR в файле главных отчётов</t>
        </is>
      </c>
      <c r="F8" s="10" t="n">
        <v>23.4</v>
      </c>
      <c r="G8" s="10" t="n">
        <v>3.115</v>
      </c>
      <c r="H8" s="10" t="n">
        <v>20.285</v>
      </c>
      <c r="I8" s="8" t="n">
        <v>12773</v>
      </c>
      <c r="J8" s="5" t="inlineStr">
        <is>
          <t>T06, T17, T24, T26, T33</t>
        </is>
      </c>
      <c r="K8" s="14" t="inlineStr"/>
      <c r="L8" s="14" t="inlineStr"/>
      <c r="M8" s="14" t="inlineStr"/>
      <c r="N8" s="15" t="inlineStr"/>
      <c r="O8" s="14" t="inlineStr"/>
    </row>
    <row r="9" ht="64" customHeight="1">
      <c r="A9" s="5" t="n">
        <v>5</v>
      </c>
      <c r="B9" s="5" t="inlineStr">
        <is>
          <t>BZ</t>
        </is>
      </c>
      <c r="C9" s="5" t="inlineStr">
        <is>
          <t>Банкетный зал</t>
        </is>
      </c>
      <c r="D9" s="5" t="inlineStr">
        <is>
          <t>Гости, банкеты, доставка</t>
        </is>
      </c>
      <c r="E9" s="5" t="inlineStr">
        <is>
          <t>Календарь броней: статусы, бюджеты, предоплаты, телефоны; Просчёты банкетов и предзаказов в Excel</t>
        </is>
      </c>
      <c r="F9" s="10" t="n">
        <v>26</v>
      </c>
      <c r="G9" s="10" t="n">
        <v>6.5</v>
      </c>
      <c r="H9" s="10" t="n">
        <v>19.5</v>
      </c>
      <c r="I9" s="8" t="n">
        <v>12675</v>
      </c>
      <c r="J9" s="5" t="inlineStr">
        <is>
          <t>T19</t>
        </is>
      </c>
      <c r="K9" s="14" t="inlineStr"/>
      <c r="L9" s="14" t="inlineStr"/>
      <c r="M9" s="14" t="inlineStr"/>
      <c r="N9" s="15" t="inlineStr"/>
      <c r="O9" s="14" t="inlineStr"/>
    </row>
    <row r="10" ht="64" customHeight="1">
      <c r="A10" s="5" t="n">
        <v>6</v>
      </c>
      <c r="B10" s="5" t="inlineStr">
        <is>
          <t>KOR</t>
        </is>
      </c>
      <c r="C10" s="5" t="inlineStr">
        <is>
          <t>Корнеры «Главного» (3 точки)</t>
        </is>
      </c>
      <c r="D10" s="5" t="inlineStr">
        <is>
          <t>Отчётность: план-факт, БДР, главные отчёты, итоги</t>
        </is>
      </c>
      <c r="E10" s="5" t="inlineStr">
        <is>
          <t>План-факт по дням (3 строки центрального ввода); Собственный недельный БДР корнеров (11 файлов); «Главные отчёты» корнеров (две копии); Итоги месяца (презентация и маркетинг); Конкурентные анализы и просчёты процентов по категориям</t>
        </is>
      </c>
      <c r="F10" s="10" t="n">
        <v>20.5</v>
      </c>
      <c r="G10" s="10" t="n">
        <v>2.675</v>
      </c>
      <c r="H10" s="10" t="n">
        <v>17.825</v>
      </c>
      <c r="I10" s="8" t="n">
        <v>11179</v>
      </c>
      <c r="J10" s="5" t="inlineStr">
        <is>
          <t>T06, T26, T33</t>
        </is>
      </c>
      <c r="K10" s="14" t="inlineStr"/>
      <c r="L10" s="14" t="inlineStr"/>
      <c r="M10" s="14" t="inlineStr"/>
      <c r="N10" s="15" t="inlineStr"/>
      <c r="O10" s="14" t="inlineStr"/>
    </row>
    <row r="11" ht="64" customHeight="1">
      <c r="A11" s="5" t="n">
        <v>7</v>
      </c>
      <c r="B11" s="5" t="inlineStr">
        <is>
          <t>BWN</t>
        </is>
      </c>
      <c r="C11" s="5" t="inlineStr">
        <is>
          <t>Breadway Нагорный</t>
        </is>
      </c>
      <c r="D11" s="5" t="inlineStr">
        <is>
          <t>Табель и свод ФОТ</t>
        </is>
      </c>
      <c r="E11" s="5" t="inlineStr">
        <is>
          <t>Табель: ежедневный ввод, просчёт кухни по неделям, закрытие месяца; Фуд-календарь по неделям и план ФОТ по цехам</t>
        </is>
      </c>
      <c r="F11" s="10" t="n">
        <v>25.5</v>
      </c>
      <c r="G11" s="10" t="n">
        <v>9.600000000000001</v>
      </c>
      <c r="H11" s="10" t="n">
        <v>15.9</v>
      </c>
      <c r="I11" s="8" t="n">
        <v>9540</v>
      </c>
      <c r="J11" s="5" t="inlineStr">
        <is>
          <t>T01, T32</t>
        </is>
      </c>
      <c r="K11" s="14" t="inlineStr"/>
      <c r="L11" s="14" t="inlineStr"/>
      <c r="M11" s="14" t="inlineStr"/>
      <c r="N11" s="15" t="inlineStr"/>
      <c r="O11" s="14" t="inlineStr"/>
    </row>
    <row r="12" ht="64" customHeight="1">
      <c r="A12" s="5" t="n">
        <v>8</v>
      </c>
      <c r="B12" s="5" t="inlineStr">
        <is>
          <t>TRB</t>
        </is>
      </c>
      <c r="C12" s="5" t="inlineStr">
        <is>
          <t>Трибу</t>
        </is>
      </c>
      <c r="D12" s="5" t="inlineStr">
        <is>
          <t>Смена: чек-листы, журналы, касса</t>
        </is>
      </c>
      <c r="E12" s="5" t="inlineStr">
        <is>
          <t>План дня менеджера зала и «восьмёрки» на бумаге; Инкассация в центральный офис ежедневно и документы из файла; Стоп- и старт-листы, отзывы в чаты вручную</t>
        </is>
      </c>
      <c r="F12" s="10" t="n">
        <v>22.5</v>
      </c>
      <c r="G12" s="10" t="n">
        <v>6.725</v>
      </c>
      <c r="H12" s="10" t="n">
        <v>15.775</v>
      </c>
      <c r="I12" s="8" t="n">
        <v>5994</v>
      </c>
      <c r="J12" s="5" t="inlineStr">
        <is>
          <t>T01, T04, T05, T14</t>
        </is>
      </c>
      <c r="K12" s="14" t="inlineStr"/>
      <c r="L12" s="14" t="inlineStr"/>
      <c r="M12" s="14" t="inlineStr"/>
      <c r="N12" s="15" t="inlineStr"/>
      <c r="O12" s="14" t="inlineStr"/>
    </row>
    <row r="13" ht="64" customHeight="1">
      <c r="A13" s="5" t="n">
        <v>9</v>
      </c>
      <c r="B13" s="5" t="inlineStr">
        <is>
          <t>TRB</t>
        </is>
      </c>
      <c r="C13" s="5" t="inlineStr">
        <is>
          <t>Трибу</t>
        </is>
      </c>
      <c r="D13" s="5" t="inlineStr">
        <is>
          <t>Отчётность: план-факт, БДР, главные отчёты, итоги</t>
        </is>
      </c>
      <c r="E13" s="5" t="inlineStr">
        <is>
          <t>План-факт: строка центрального ввода и собственная копия; Недельный БДР: 6 строк ФОТ и себестоимость; «Главные отчёты» Трибу; Итоги месяца</t>
        </is>
      </c>
      <c r="F13" s="10" t="n">
        <v>16.9</v>
      </c>
      <c r="G13" s="10" t="n">
        <v>1.515</v>
      </c>
      <c r="H13" s="10" t="n">
        <v>15.385</v>
      </c>
      <c r="I13" s="8" t="n">
        <v>9500</v>
      </c>
      <c r="J13" s="5" t="inlineStr">
        <is>
          <t>T06, T26, T33</t>
        </is>
      </c>
      <c r="K13" s="14" t="inlineStr"/>
      <c r="L13" s="14" t="inlineStr"/>
      <c r="M13" s="14" t="inlineStr"/>
      <c r="N13" s="15" t="inlineStr"/>
      <c r="O13" s="14" t="inlineStr"/>
    </row>
    <row r="14" ht="64" customHeight="1">
      <c r="A14" s="5" t="n">
        <v>10</v>
      </c>
      <c r="B14" s="5" t="inlineStr">
        <is>
          <t>BWI</t>
        </is>
      </c>
      <c r="C14" s="5" t="inlineStr">
        <is>
          <t>Breadway Исеть</t>
        </is>
      </c>
      <c r="D14" s="5" t="inlineStr">
        <is>
          <t>Отчётность: план-факт, БДР, главные отчёты, итоги</t>
        </is>
      </c>
      <c r="E14" s="5" t="inlineStr">
        <is>
          <t>План-факт (строка BWI); Недельный БДР: 5 строк ФОТ и себестоимость; «Главные отчёты BWI» (202 исправления формул); Итоги месяца (презентация 5 МБ); Файл «план ТО» на 1 млн знаков (ЦФО, план)</t>
        </is>
      </c>
      <c r="F14" s="10" t="n">
        <v>19.4</v>
      </c>
      <c r="G14" s="10" t="n">
        <v>4.215</v>
      </c>
      <c r="H14" s="10" t="n">
        <v>15.185</v>
      </c>
      <c r="I14" s="8" t="n">
        <v>9358</v>
      </c>
      <c r="J14" s="5" t="inlineStr">
        <is>
          <t>T06, T09, T26, T33</t>
        </is>
      </c>
      <c r="K14" s="14" t="inlineStr"/>
      <c r="L14" s="14" t="inlineStr"/>
      <c r="M14" s="14" t="inlineStr"/>
      <c r="N14" s="15" t="inlineStr"/>
      <c r="O14" s="14" t="inlineStr"/>
    </row>
    <row r="15" ht="64" customHeight="1">
      <c r="A15" s="5" t="n">
        <v>11</v>
      </c>
      <c r="B15" s="5" t="inlineStr">
        <is>
          <t>BAR</t>
        </is>
      </c>
      <c r="C15" s="5" t="inlineStr">
        <is>
          <t>the Barbara</t>
        </is>
      </c>
      <c r="D15" s="5" t="inlineStr">
        <is>
          <t>Табель и свод ФОТ</t>
        </is>
      </c>
      <c r="E15" s="5" t="inlineStr">
        <is>
          <t>Табель: ежедневный ввод и закрытие месяца (около 95 человек)</t>
        </is>
      </c>
      <c r="F15" s="10" t="n">
        <v>24.5</v>
      </c>
      <c r="G15" s="10" t="n">
        <v>9.800000000000001</v>
      </c>
      <c r="H15" s="10" t="n">
        <v>14.7</v>
      </c>
      <c r="I15" s="8" t="n">
        <v>8820</v>
      </c>
      <c r="J15" s="5" t="inlineStr">
        <is>
          <t>T32</t>
        </is>
      </c>
      <c r="K15" s="14" t="inlineStr"/>
      <c r="L15" s="14" t="inlineStr"/>
      <c r="M15" s="14" t="inlineStr"/>
      <c r="N15" s="15" t="inlineStr"/>
      <c r="O15" s="14" t="inlineStr"/>
    </row>
    <row r="16" ht="64" customHeight="1">
      <c r="A16" s="5" t="n">
        <v>12</v>
      </c>
      <c r="B16" s="5" t="inlineStr">
        <is>
          <t>CHA</t>
        </is>
      </c>
      <c r="C16" s="5" t="inlineStr">
        <is>
          <t>Чаща</t>
        </is>
      </c>
      <c r="D16" s="5" t="inlineStr">
        <is>
          <t>Отчётность: план-факт, БДР, главные отчёты, итоги</t>
        </is>
      </c>
      <c r="E16" s="5" t="inlineStr">
        <is>
          <t>План-факт (строка Чаща); Недельный БДР: 7 строк ФОТ и себестоимость; «Главные отчёты» Чащи; Итоги месяца (PDF 55 МБ и маркетинг 7 МБ)</t>
        </is>
      </c>
      <c r="F16" s="10" t="n">
        <v>16.5</v>
      </c>
      <c r="G16" s="10" t="n">
        <v>2.325</v>
      </c>
      <c r="H16" s="10" t="n">
        <v>14.175</v>
      </c>
      <c r="I16" s="8" t="n">
        <v>8801</v>
      </c>
      <c r="J16" s="5" t="inlineStr">
        <is>
          <t>T06, T26, T33</t>
        </is>
      </c>
      <c r="K16" s="14" t="inlineStr"/>
      <c r="L16" s="14" t="inlineStr"/>
      <c r="M16" s="14" t="inlineStr"/>
      <c r="N16" s="15" t="inlineStr"/>
      <c r="O16" s="14" t="inlineStr"/>
    </row>
    <row r="17" ht="64" customHeight="1">
      <c r="A17" s="5" t="n">
        <v>13</v>
      </c>
      <c r="B17" s="5" t="inlineStr">
        <is>
          <t>BWN</t>
        </is>
      </c>
      <c r="C17" s="5" t="inlineStr">
        <is>
          <t>Breadway Нагорный</t>
        </is>
      </c>
      <c r="D17" s="5" t="inlineStr">
        <is>
          <t>Отчётность: план-факт, БДР, главные отчёты, итоги</t>
        </is>
      </c>
      <c r="E17" s="5" t="inlineStr">
        <is>
          <t>План-факт (строка BWN); Недельный БДР: 6 строк ФОТ и себестоимость; «Главные отчёты» (лист гостевой Нагорный в файле BWI); Бланк руководителей и презентация итогов</t>
        </is>
      </c>
      <c r="F17" s="10" t="n">
        <v>15.9</v>
      </c>
      <c r="G17" s="10" t="n">
        <v>2.465</v>
      </c>
      <c r="H17" s="10" t="n">
        <v>13.435</v>
      </c>
      <c r="I17" s="8" t="n">
        <v>8330</v>
      </c>
      <c r="J17" s="5" t="inlineStr">
        <is>
          <t>T06, T26, T33</t>
        </is>
      </c>
      <c r="K17" s="14" t="inlineStr"/>
      <c r="L17" s="14" t="inlineStr"/>
      <c r="M17" s="14" t="inlineStr"/>
      <c r="N17" s="15" t="inlineStr"/>
      <c r="O17" s="14" t="inlineStr"/>
    </row>
    <row r="18" ht="64" customHeight="1">
      <c r="A18" s="5" t="n">
        <v>14</v>
      </c>
      <c r="B18" s="5" t="inlineStr">
        <is>
          <t>KOR</t>
        </is>
      </c>
      <c r="C18" s="5" t="inlineStr">
        <is>
          <t>Корнеры «Главного» (3 точки)</t>
        </is>
      </c>
      <c r="D18" s="5" t="inlineStr">
        <is>
          <t>Снабжение и заявки</t>
        </is>
      </c>
      <c r="E18" s="5" t="inlineStr">
        <is>
          <t>Контроль бюджета хозтоваров корнеров; Заявки корнеров снабжению</t>
        </is>
      </c>
      <c r="F18" s="10" t="n">
        <v>19</v>
      </c>
      <c r="G18" s="10" t="n">
        <v>5.7</v>
      </c>
      <c r="H18" s="10" t="n">
        <v>13.3</v>
      </c>
      <c r="I18" s="8" t="n">
        <v>5810</v>
      </c>
      <c r="J18" s="5" t="inlineStr">
        <is>
          <t>T28</t>
        </is>
      </c>
      <c r="K18" s="14" t="inlineStr"/>
      <c r="L18" s="14" t="inlineStr"/>
      <c r="M18" s="14" t="inlineStr"/>
      <c r="N18" s="15" t="inlineStr"/>
      <c r="O18" s="14" t="inlineStr"/>
    </row>
    <row r="19" ht="64" customHeight="1">
      <c r="A19" s="5" t="n">
        <v>15</v>
      </c>
      <c r="B19" s="5" t="inlineStr">
        <is>
          <t>ENC</t>
        </is>
      </c>
      <c r="C19" s="5" t="inlineStr">
        <is>
          <t>Анкор (Encore-cafe)</t>
        </is>
      </c>
      <c r="D19" s="5" t="inlineStr">
        <is>
          <t>Отчётность: план-факт, БДР, главные отчёты, итоги</t>
        </is>
      </c>
      <c r="E19" s="5" t="inlineStr">
        <is>
          <t>План-факт по дням (центральный ввод, строка «Анкор»); Недельный БДР: 3 строки ФОТ и себестоимость; «Главные отчёты» Encore; Итоги месяца (презентация); Дорожная карта месяца (листы «упр» и «шеф»)</t>
        </is>
      </c>
      <c r="F19" s="10" t="n">
        <v>15.2</v>
      </c>
      <c r="G19" s="10" t="n">
        <v>2.495</v>
      </c>
      <c r="H19" s="10" t="n">
        <v>12.705</v>
      </c>
      <c r="I19" s="8" t="n">
        <v>7816</v>
      </c>
      <c r="J19" s="5" t="inlineStr">
        <is>
          <t>T06, T24, T26, T33</t>
        </is>
      </c>
      <c r="K19" s="14" t="inlineStr"/>
      <c r="L19" s="14" t="inlineStr"/>
      <c r="M19" s="14" t="inlineStr"/>
      <c r="N19" s="15" t="inlineStr"/>
      <c r="O19" s="14" t="inlineStr"/>
    </row>
    <row r="20" ht="64" customHeight="1">
      <c r="A20" s="5" t="n">
        <v>16</v>
      </c>
      <c r="B20" s="5" t="inlineStr">
        <is>
          <t>DEL</t>
        </is>
      </c>
      <c r="C20" s="5" t="inlineStr">
        <is>
          <t>Доставка (Исеть и Нагорный)</t>
        </is>
      </c>
      <c r="D20" s="5" t="inlineStr">
        <is>
          <t>Гости, банкеты, доставка</t>
        </is>
      </c>
      <c r="E20" s="5" t="inlineStr">
        <is>
          <t>Тайминги: выгрузка из iiko и разбор по заказам еженедельно</t>
        </is>
      </c>
      <c r="F20" s="10" t="n">
        <v>12</v>
      </c>
      <c r="G20" s="10" t="n">
        <v>1.2</v>
      </c>
      <c r="H20" s="10" t="n">
        <v>10.8</v>
      </c>
      <c r="I20" s="8" t="n">
        <v>6480</v>
      </c>
      <c r="J20" s="5" t="inlineStr">
        <is>
          <t>T27</t>
        </is>
      </c>
      <c r="K20" s="14" t="inlineStr"/>
      <c r="L20" s="14" t="inlineStr"/>
      <c r="M20" s="14" t="inlineStr"/>
      <c r="N20" s="15" t="inlineStr"/>
      <c r="O20" s="14" t="inlineStr"/>
    </row>
    <row r="21" ht="64" customHeight="1">
      <c r="A21" s="5" t="n">
        <v>17</v>
      </c>
      <c r="B21" s="5" t="inlineStr">
        <is>
          <t>BZ</t>
        </is>
      </c>
      <c r="C21" s="5" t="inlineStr">
        <is>
          <t>Банкетный зал</t>
        </is>
      </c>
      <c r="D21" s="5" t="inlineStr">
        <is>
          <t>Отчётность: план-факт, БДР, главные отчёты, итоги</t>
        </is>
      </c>
      <c r="E21" s="5" t="inlineStr">
        <is>
          <t>План-факт по неделям (центральный ввод); Недельный БДР: 5 строк ФОТ банкета и себестоимость; «Главные отчёты» банкетного зала; Итоги месяца (PDF 35 МБ)</t>
        </is>
      </c>
      <c r="F21" s="10" t="n">
        <v>12.4</v>
      </c>
      <c r="G21" s="10" t="n">
        <v>1.615</v>
      </c>
      <c r="H21" s="10" t="n">
        <v>10.785</v>
      </c>
      <c r="I21" s="8" t="n">
        <v>6718</v>
      </c>
      <c r="J21" s="5" t="inlineStr">
        <is>
          <t>T06, T26, T33</t>
        </is>
      </c>
      <c r="K21" s="14" t="inlineStr"/>
      <c r="L21" s="14" t="inlineStr"/>
      <c r="M21" s="14" t="inlineStr"/>
      <c r="N21" s="15" t="inlineStr"/>
      <c r="O21" s="14" t="inlineStr"/>
    </row>
    <row r="22" ht="64" customHeight="1">
      <c r="A22" s="5" t="n">
        <v>18</v>
      </c>
      <c r="B22" s="5" t="inlineStr">
        <is>
          <t>TRB</t>
        </is>
      </c>
      <c r="C22" s="5" t="inlineStr">
        <is>
          <t>Трибу</t>
        </is>
      </c>
      <c r="D22" s="5" t="inlineStr">
        <is>
          <t>Табель и свод ФОТ</t>
        </is>
      </c>
      <c r="E22" s="5" t="inlineStr">
        <is>
          <t>Табель: ежедневный ввод и закрытие месяца</t>
        </is>
      </c>
      <c r="F22" s="10" t="n">
        <v>17.5</v>
      </c>
      <c r="G22" s="10" t="n">
        <v>7</v>
      </c>
      <c r="H22" s="10" t="n">
        <v>10.5</v>
      </c>
      <c r="I22" s="8" t="n">
        <v>6300</v>
      </c>
      <c r="J22" s="5" t="inlineStr">
        <is>
          <t>T32</t>
        </is>
      </c>
      <c r="K22" s="14" t="inlineStr"/>
      <c r="L22" s="14" t="inlineStr"/>
      <c r="M22" s="14" t="inlineStr"/>
      <c r="N22" s="15" t="inlineStr"/>
      <c r="O22" s="14" t="inlineStr"/>
    </row>
    <row r="23" ht="64" customHeight="1">
      <c r="A23" s="5" t="n">
        <v>19</v>
      </c>
      <c r="B23" s="5" t="inlineStr">
        <is>
          <t>BWI</t>
        </is>
      </c>
      <c r="C23" s="5" t="inlineStr">
        <is>
          <t>Breadway Исеть</t>
        </is>
      </c>
      <c r="D23" s="5" t="inlineStr">
        <is>
          <t>Табель и свод ФОТ</t>
        </is>
      </c>
      <c r="E23" s="5" t="inlineStr">
        <is>
          <t>Табель: ежедневный ввод и закрытие месяца</t>
        </is>
      </c>
      <c r="F23" s="10" t="n">
        <v>16.5</v>
      </c>
      <c r="G23" s="10" t="n">
        <v>6.600000000000001</v>
      </c>
      <c r="H23" s="10" t="n">
        <v>9.899999999999999</v>
      </c>
      <c r="I23" s="8" t="n">
        <v>5940</v>
      </c>
      <c r="J23" s="5" t="inlineStr">
        <is>
          <t>T32</t>
        </is>
      </c>
      <c r="K23" s="14" t="inlineStr"/>
      <c r="L23" s="14" t="inlineStr"/>
      <c r="M23" s="14" t="inlineStr"/>
      <c r="N23" s="15" t="inlineStr"/>
      <c r="O23" s="14" t="inlineStr"/>
    </row>
    <row r="24" ht="64" customHeight="1">
      <c r="A24" s="5" t="n">
        <v>20</v>
      </c>
      <c r="B24" s="5" t="inlineStr">
        <is>
          <t>KOR</t>
        </is>
      </c>
      <c r="C24" s="5" t="inlineStr">
        <is>
          <t>Корнеры «Главного» (3 точки)</t>
        </is>
      </c>
      <c r="D24" s="5" t="inlineStr">
        <is>
          <t>Табель и свод ФОТ</t>
        </is>
      </c>
      <c r="E24" s="5" t="inlineStr">
        <is>
          <t>Табель трёх точек в одном файле 11 МБ</t>
        </is>
      </c>
      <c r="F24" s="10" t="n">
        <v>15.5</v>
      </c>
      <c r="G24" s="10" t="n">
        <v>6.2</v>
      </c>
      <c r="H24" s="10" t="n">
        <v>9.300000000000001</v>
      </c>
      <c r="I24" s="8" t="n">
        <v>5580</v>
      </c>
      <c r="J24" s="5" t="inlineStr">
        <is>
          <t>T32</t>
        </is>
      </c>
      <c r="K24" s="14" t="inlineStr"/>
      <c r="L24" s="14" t="inlineStr"/>
      <c r="M24" s="14" t="inlineStr"/>
      <c r="N24" s="15" t="inlineStr"/>
      <c r="O24" s="14" t="inlineStr"/>
    </row>
    <row r="25" ht="64" customHeight="1">
      <c r="A25" s="5" t="n">
        <v>21</v>
      </c>
      <c r="B25" s="5" t="inlineStr">
        <is>
          <t>CHA</t>
        </is>
      </c>
      <c r="C25" s="5" t="inlineStr">
        <is>
          <t>Чаща</t>
        </is>
      </c>
      <c r="D25" s="5" t="inlineStr">
        <is>
          <t>Ревизии и потери</t>
        </is>
      </c>
      <c r="E25" s="5" t="inlineStr">
        <is>
          <t>Реестр отзывов и NPS из скриншотов чата; Ревизии бара и кухни</t>
        </is>
      </c>
      <c r="F25" s="10" t="n">
        <v>13</v>
      </c>
      <c r="G25" s="10" t="n">
        <v>3.75</v>
      </c>
      <c r="H25" s="10" t="n">
        <v>9.25</v>
      </c>
      <c r="I25" s="8" t="n">
        <v>5850</v>
      </c>
      <c r="J25" s="5" t="inlineStr">
        <is>
          <t>T13, T14</t>
        </is>
      </c>
      <c r="K25" s="14" t="inlineStr"/>
      <c r="L25" s="14" t="inlineStr"/>
      <c r="M25" s="14" t="inlineStr"/>
      <c r="N25" s="15" t="inlineStr"/>
      <c r="O25" s="14" t="inlineStr"/>
    </row>
    <row r="26" ht="64" customHeight="1">
      <c r="A26" s="5" t="n">
        <v>22</v>
      </c>
      <c r="B26" s="5" t="inlineStr">
        <is>
          <t>CHA</t>
        </is>
      </c>
      <c r="C26" s="5" t="inlineStr">
        <is>
          <t>Чаща</t>
        </is>
      </c>
      <c r="D26" s="5" t="inlineStr">
        <is>
          <t>Табель и свод ФОТ</t>
        </is>
      </c>
      <c r="E26" s="5" t="inlineStr">
        <is>
          <t>Табель: ежедневный ввод и закрытие месяца</t>
        </is>
      </c>
      <c r="F26" s="10" t="n">
        <v>14.5</v>
      </c>
      <c r="G26" s="10" t="n">
        <v>5.800000000000001</v>
      </c>
      <c r="H26" s="10" t="n">
        <v>8.699999999999999</v>
      </c>
      <c r="I26" s="8" t="n">
        <v>5220</v>
      </c>
      <c r="J26" s="5" t="inlineStr">
        <is>
          <t>T32</t>
        </is>
      </c>
      <c r="K26" s="14" t="inlineStr"/>
      <c r="L26" s="14" t="inlineStr"/>
      <c r="M26" s="14" t="inlineStr"/>
      <c r="N26" s="15" t="inlineStr"/>
      <c r="O26" s="14" t="inlineStr"/>
    </row>
    <row r="27" ht="64" customHeight="1">
      <c r="A27" s="5" t="n">
        <v>23</v>
      </c>
      <c r="B27" s="5" t="inlineStr">
        <is>
          <t>KOR</t>
        </is>
      </c>
      <c r="C27" s="5" t="inlineStr">
        <is>
          <t>Корнеры «Главного» (3 точки)</t>
        </is>
      </c>
      <c r="D27" s="5" t="inlineStr">
        <is>
          <t>Ревизии и потери</t>
        </is>
      </c>
      <c r="E27" s="5" t="inlineStr">
        <is>
          <t>ABC-анализ вручную (три файла); Ревизии: 3 бара и 2 кухни, защитные файлы</t>
        </is>
      </c>
      <c r="F27" s="10" t="n">
        <v>12</v>
      </c>
      <c r="G27" s="10" t="n">
        <v>3.7</v>
      </c>
      <c r="H27" s="10" t="n">
        <v>8.300000000000001</v>
      </c>
      <c r="I27" s="8" t="n">
        <v>4980</v>
      </c>
      <c r="J27" s="5" t="inlineStr">
        <is>
          <t>T12, T13</t>
        </is>
      </c>
      <c r="K27" s="14" t="inlineStr"/>
      <c r="L27" s="14" t="inlineStr"/>
      <c r="M27" s="14" t="inlineStr"/>
      <c r="N27" s="15" t="inlineStr"/>
      <c r="O27" s="14" t="inlineStr"/>
    </row>
    <row r="28" ht="64" customHeight="1">
      <c r="A28" s="5" t="n">
        <v>24</v>
      </c>
      <c r="B28" s="5" t="inlineStr">
        <is>
          <t>ENC</t>
        </is>
      </c>
      <c r="C28" s="5" t="inlineStr">
        <is>
          <t>Анкор (Encore-cafe)</t>
        </is>
      </c>
      <c r="D28" s="5" t="inlineStr">
        <is>
          <t>План смен и графики</t>
        </is>
      </c>
      <c r="E28" s="5" t="inlineStr">
        <is>
          <t>Штатное расписание (5 файлов ШР); Недельное расписание барменов и менеджеров</t>
        </is>
      </c>
      <c r="F28" s="10" t="n">
        <v>12</v>
      </c>
      <c r="G28" s="10" t="n">
        <v>4.199999999999999</v>
      </c>
      <c r="H28" s="10" t="n">
        <v>7.800000000000001</v>
      </c>
      <c r="I28" s="8" t="n">
        <v>3822</v>
      </c>
      <c r="J28" s="5" t="inlineStr">
        <is>
          <t>T02</t>
        </is>
      </c>
      <c r="K28" s="14" t="inlineStr"/>
      <c r="L28" s="14" t="inlineStr"/>
      <c r="M28" s="14" t="inlineStr"/>
      <c r="N28" s="15" t="inlineStr"/>
      <c r="O28" s="14" t="inlineStr"/>
    </row>
    <row r="29" ht="64" customHeight="1">
      <c r="A29" s="5" t="n">
        <v>25</v>
      </c>
      <c r="B29" s="5" t="inlineStr">
        <is>
          <t>BWI</t>
        </is>
      </c>
      <c r="C29" s="5" t="inlineStr">
        <is>
          <t>Breadway Исеть</t>
        </is>
      </c>
      <c r="D29" s="5" t="inlineStr">
        <is>
          <t>План смен и графики</t>
        </is>
      </c>
      <c r="E29" s="5" t="inlineStr">
        <is>
          <t>Штатное расписание (лист BW ISET); Недельный график сервиса</t>
        </is>
      </c>
      <c r="F29" s="10" t="n">
        <v>12</v>
      </c>
      <c r="G29" s="10" t="n">
        <v>4.199999999999999</v>
      </c>
      <c r="H29" s="10" t="n">
        <v>7.800000000000001</v>
      </c>
      <c r="I29" s="8" t="n">
        <v>3822</v>
      </c>
      <c r="J29" s="5" t="inlineStr">
        <is>
          <t>T02</t>
        </is>
      </c>
      <c r="K29" s="14" t="inlineStr"/>
      <c r="L29" s="14" t="inlineStr"/>
      <c r="M29" s="14" t="inlineStr"/>
      <c r="N29" s="15" t="inlineStr"/>
      <c r="O29" s="14" t="inlineStr"/>
    </row>
    <row r="30" ht="64" customHeight="1">
      <c r="A30" s="5" t="n">
        <v>26</v>
      </c>
      <c r="B30" s="5" t="inlineStr">
        <is>
          <t>ENC</t>
        </is>
      </c>
      <c r="C30" s="5" t="inlineStr">
        <is>
          <t>Анкор (Encore-cafe)</t>
        </is>
      </c>
      <c r="D30" s="5" t="inlineStr">
        <is>
          <t>Табель и свод ФОТ</t>
        </is>
      </c>
      <c r="E30" s="5" t="inlineStr">
        <is>
          <t>Табель: ежедневный ввод часов и закрытие месяца с просчётом кухни по неделям</t>
        </is>
      </c>
      <c r="F30" s="10" t="n">
        <v>12.5</v>
      </c>
      <c r="G30" s="10" t="n">
        <v>5</v>
      </c>
      <c r="H30" s="10" t="n">
        <v>7.5</v>
      </c>
      <c r="I30" s="8" t="n">
        <v>4500</v>
      </c>
      <c r="J30" s="5" t="inlineStr">
        <is>
          <t>T32</t>
        </is>
      </c>
      <c r="K30" s="14" t="inlineStr"/>
      <c r="L30" s="14" t="inlineStr"/>
      <c r="M30" s="14" t="inlineStr"/>
      <c r="N30" s="15" t="inlineStr"/>
      <c r="O30" s="14" t="inlineStr"/>
    </row>
    <row r="31" ht="64" customHeight="1">
      <c r="A31" s="5" t="n">
        <v>27</v>
      </c>
      <c r="B31" s="5" t="inlineStr">
        <is>
          <t>DEL</t>
        </is>
      </c>
      <c r="C31" s="5" t="inlineStr">
        <is>
          <t>Доставка (Исеть и Нагорный)</t>
        </is>
      </c>
      <c r="D31" s="5" t="inlineStr">
        <is>
          <t>Табель и свод ФОТ</t>
        </is>
      </c>
      <c r="E31" s="5" t="inlineStr">
        <is>
          <t>Табель двух точек доставки с нормами ФОТ по подразделениям</t>
        </is>
      </c>
      <c r="F31" s="10" t="n">
        <v>12.5</v>
      </c>
      <c r="G31" s="10" t="n">
        <v>5</v>
      </c>
      <c r="H31" s="10" t="n">
        <v>7.5</v>
      </c>
      <c r="I31" s="8" t="n">
        <v>4500</v>
      </c>
      <c r="J31" s="5" t="inlineStr">
        <is>
          <t>T32</t>
        </is>
      </c>
      <c r="K31" s="14" t="inlineStr"/>
      <c r="L31" s="14" t="inlineStr"/>
      <c r="M31" s="14" t="inlineStr"/>
      <c r="N31" s="15" t="inlineStr"/>
      <c r="O31" s="14" t="inlineStr"/>
    </row>
    <row r="32" ht="64" customHeight="1">
      <c r="A32" s="5" t="n">
        <v>28</v>
      </c>
      <c r="B32" s="5" t="inlineStr">
        <is>
          <t>BWI</t>
        </is>
      </c>
      <c r="C32" s="5" t="inlineStr">
        <is>
          <t>Breadway Исеть</t>
        </is>
      </c>
      <c r="D32" s="5" t="inlineStr">
        <is>
          <t>Смена: чек-листы, журналы, касса</t>
        </is>
      </c>
      <c r="E32" s="5" t="inlineStr">
        <is>
          <t>Журналы в Excel: здоровья, гнойничковый, ежедневные хозтовары; Объяснительные фотографиями</t>
        </is>
      </c>
      <c r="F32" s="10" t="n">
        <v>11</v>
      </c>
      <c r="G32" s="10" t="n">
        <v>3.55</v>
      </c>
      <c r="H32" s="10" t="n">
        <v>7.449999999999999</v>
      </c>
      <c r="I32" s="8" t="n">
        <v>2831</v>
      </c>
      <c r="J32" s="5" t="inlineStr">
        <is>
          <t>T04, T14</t>
        </is>
      </c>
      <c r="K32" s="14" t="inlineStr"/>
      <c r="L32" s="14" t="inlineStr"/>
      <c r="M32" s="14" t="inlineStr"/>
      <c r="N32" s="15" t="inlineStr"/>
      <c r="O32" s="14" t="inlineStr"/>
    </row>
    <row r="33" ht="64" customHeight="1">
      <c r="A33" s="5" t="n">
        <v>29</v>
      </c>
      <c r="B33" s="5" t="inlineStr">
        <is>
          <t>ENC</t>
        </is>
      </c>
      <c r="C33" s="5" t="inlineStr">
        <is>
          <t>Анкор (Encore-cafe)</t>
        </is>
      </c>
      <c r="D33" s="5" t="inlineStr">
        <is>
          <t>Ревизии и потери</t>
        </is>
      </c>
      <c r="E33" s="5" t="inlineStr">
        <is>
          <t>ППР: журнал проблем с недельной статистикой возвратов; ABC/XYZ-анализ блюд, завтраков и стаффа вручную (4 файла в месяц); Ревизия бара: защитный файл и меры</t>
        </is>
      </c>
      <c r="F33" s="10" t="n">
        <v>9</v>
      </c>
      <c r="G33" s="10" t="n">
        <v>1.85</v>
      </c>
      <c r="H33" s="10" t="n">
        <v>7.149999999999999</v>
      </c>
      <c r="I33" s="8" t="n">
        <v>4290</v>
      </c>
      <c r="J33" s="5" t="inlineStr">
        <is>
          <t>T05, T12, T13, T14</t>
        </is>
      </c>
      <c r="K33" s="14" t="inlineStr"/>
      <c r="L33" s="14" t="inlineStr"/>
      <c r="M33" s="14" t="inlineStr"/>
      <c r="N33" s="15" t="inlineStr"/>
      <c r="O33" s="14" t="inlineStr"/>
    </row>
    <row r="34" ht="64" customHeight="1">
      <c r="A34" s="5" t="n">
        <v>30</v>
      </c>
      <c r="B34" s="5" t="inlineStr">
        <is>
          <t>TRB</t>
        </is>
      </c>
      <c r="C34" s="5" t="inlineStr">
        <is>
          <t>Трибу</t>
        </is>
      </c>
      <c r="D34" s="5" t="inlineStr">
        <is>
          <t>Снабжение и заявки</t>
        </is>
      </c>
      <c r="E34" s="5" t="inlineStr">
        <is>
          <t>Контроль бюджета хозтоваров Трибу; Заявки снабжению (матрица продуктов)</t>
        </is>
      </c>
      <c r="F34" s="10" t="n">
        <v>9</v>
      </c>
      <c r="G34" s="10" t="n">
        <v>2.7</v>
      </c>
      <c r="H34" s="10" t="n">
        <v>6.3</v>
      </c>
      <c r="I34" s="8" t="n">
        <v>3150</v>
      </c>
      <c r="J34" s="5" t="inlineStr">
        <is>
          <t>T28</t>
        </is>
      </c>
      <c r="K34" s="14" t="inlineStr"/>
      <c r="L34" s="14" t="inlineStr"/>
      <c r="M34" s="14" t="inlineStr"/>
      <c r="N34" s="15" t="inlineStr"/>
      <c r="O34" s="14" t="inlineStr"/>
    </row>
    <row r="35" ht="64" customHeight="1">
      <c r="A35" s="5" t="n">
        <v>31</v>
      </c>
      <c r="B35" s="5" t="inlineStr">
        <is>
          <t>BWN</t>
        </is>
      </c>
      <c r="C35" s="5" t="inlineStr">
        <is>
          <t>Breadway Нагорный</t>
        </is>
      </c>
      <c r="D35" s="5" t="inlineStr">
        <is>
          <t>Снабжение и заявки</t>
        </is>
      </c>
      <c r="E35" s="5" t="inlineStr">
        <is>
          <t>Бюджет контроля хозтоваров и упаковки; Заявки снабжению</t>
        </is>
      </c>
      <c r="F35" s="10" t="n">
        <v>9</v>
      </c>
      <c r="G35" s="10" t="n">
        <v>2.7</v>
      </c>
      <c r="H35" s="10" t="n">
        <v>6.3</v>
      </c>
      <c r="I35" s="8" t="n">
        <v>3010</v>
      </c>
      <c r="J35" s="5" t="inlineStr">
        <is>
          <t>T28</t>
        </is>
      </c>
      <c r="K35" s="14" t="inlineStr"/>
      <c r="L35" s="14" t="inlineStr"/>
      <c r="M35" s="14" t="inlineStr"/>
      <c r="N35" s="15" t="inlineStr"/>
      <c r="O35" s="14" t="inlineStr"/>
    </row>
    <row r="36" ht="64" customHeight="1">
      <c r="A36" s="5" t="n">
        <v>32</v>
      </c>
      <c r="B36" s="5" t="inlineStr">
        <is>
          <t>BWI</t>
        </is>
      </c>
      <c r="C36" s="5" t="inlineStr">
        <is>
          <t>Breadway Исеть</t>
        </is>
      </c>
      <c r="D36" s="5" t="inlineStr">
        <is>
          <t>Гости, банкеты, доставка</t>
        </is>
      </c>
      <c r="E36" s="5" t="inlineStr">
        <is>
          <t>Прозвоны гостей по дням рождения; Просчёты банкетов и предзаказов в Excel</t>
        </is>
      </c>
      <c r="F36" s="10" t="n">
        <v>8</v>
      </c>
      <c r="G36" s="10" t="n">
        <v>1.9</v>
      </c>
      <c r="H36" s="10" t="n">
        <v>6.1</v>
      </c>
      <c r="I36" s="8" t="n">
        <v>2318</v>
      </c>
      <c r="J36" s="5" t="inlineStr">
        <is>
          <t>T15, T19</t>
        </is>
      </c>
      <c r="K36" s="14" t="inlineStr"/>
      <c r="L36" s="14" t="inlineStr"/>
      <c r="M36" s="14" t="inlineStr"/>
      <c r="N36" s="15" t="inlineStr"/>
      <c r="O36" s="14" t="inlineStr"/>
    </row>
    <row r="37" ht="64" customHeight="1">
      <c r="A37" s="5" t="n">
        <v>33</v>
      </c>
      <c r="B37" s="5" t="inlineStr">
        <is>
          <t>CHA</t>
        </is>
      </c>
      <c r="C37" s="5" t="inlineStr">
        <is>
          <t>Чаща</t>
        </is>
      </c>
      <c r="D37" s="5" t="inlineStr">
        <is>
          <t>План смен и графики</t>
        </is>
      </c>
      <c r="E37" s="5" t="inlineStr">
        <is>
          <t>Мастер-график (ШР по месяцам) и правки по неделям</t>
        </is>
      </c>
      <c r="F37" s="10" t="n">
        <v>9</v>
      </c>
      <c r="G37" s="10" t="n">
        <v>3.15</v>
      </c>
      <c r="H37" s="10" t="n">
        <v>5.85</v>
      </c>
      <c r="I37" s="8" t="n">
        <v>3081</v>
      </c>
      <c r="J37" s="5" t="inlineStr">
        <is>
          <t>T02</t>
        </is>
      </c>
      <c r="K37" s="14" t="inlineStr"/>
      <c r="L37" s="14" t="inlineStr"/>
      <c r="M37" s="14" t="inlineStr"/>
      <c r="N37" s="15" t="inlineStr"/>
      <c r="O37" s="14" t="inlineStr"/>
    </row>
    <row r="38" ht="64" customHeight="1">
      <c r="A38" s="5" t="n">
        <v>34</v>
      </c>
      <c r="B38" s="5" t="inlineStr">
        <is>
          <t>BZ</t>
        </is>
      </c>
      <c r="C38" s="5" t="inlineStr">
        <is>
          <t>Банкетный зал</t>
        </is>
      </c>
      <c r="D38" s="5" t="inlineStr">
        <is>
          <t>Табель и свод ФОТ</t>
        </is>
      </c>
      <c r="E38" s="5" t="inlineStr">
        <is>
          <t>Табель банкетного зала</t>
        </is>
      </c>
      <c r="F38" s="10" t="n">
        <v>8.5</v>
      </c>
      <c r="G38" s="10" t="n">
        <v>3.4</v>
      </c>
      <c r="H38" s="10" t="n">
        <v>5.1</v>
      </c>
      <c r="I38" s="8" t="n">
        <v>3060</v>
      </c>
      <c r="J38" s="5" t="inlineStr">
        <is>
          <t>T32</t>
        </is>
      </c>
      <c r="K38" s="14" t="inlineStr"/>
      <c r="L38" s="14" t="inlineStr"/>
      <c r="M38" s="14" t="inlineStr"/>
      <c r="N38" s="15" t="inlineStr"/>
      <c r="O38" s="14" t="inlineStr"/>
    </row>
    <row r="39" ht="64" customHeight="1">
      <c r="A39" s="5" t="n">
        <v>35</v>
      </c>
      <c r="B39" s="5" t="inlineStr">
        <is>
          <t>BWI</t>
        </is>
      </c>
      <c r="C39" s="5" t="inlineStr">
        <is>
          <t>Breadway Исеть</t>
        </is>
      </c>
      <c r="D39" s="5" t="inlineStr">
        <is>
          <t>Ревизии и потери</t>
        </is>
      </c>
      <c r="E39" s="5" t="inlineStr">
        <is>
          <t>ППР (журнал проблем) и таблица компенсаций; Ревизия бара и доля кухни Исеть</t>
        </is>
      </c>
      <c r="F39" s="10" t="n">
        <v>7</v>
      </c>
      <c r="G39" s="10" t="n">
        <v>2.05</v>
      </c>
      <c r="H39" s="10" t="n">
        <v>4.95</v>
      </c>
      <c r="I39" s="8" t="n">
        <v>2805</v>
      </c>
      <c r="J39" s="5" t="inlineStr">
        <is>
          <t>T05, T13, T14</t>
        </is>
      </c>
      <c r="K39" s="14" t="inlineStr"/>
      <c r="L39" s="14" t="inlineStr"/>
      <c r="M39" s="14" t="inlineStr"/>
      <c r="N39" s="15" t="inlineStr"/>
      <c r="O39" s="14" t="inlineStr"/>
    </row>
    <row r="40" ht="64" customHeight="1">
      <c r="A40" s="5" t="n">
        <v>36</v>
      </c>
      <c r="B40" s="5" t="inlineStr">
        <is>
          <t>ENC</t>
        </is>
      </c>
      <c r="C40" s="5" t="inlineStr">
        <is>
          <t>Анкор (Encore-cafe)</t>
        </is>
      </c>
      <c r="D40" s="5" t="inlineStr">
        <is>
          <t>Снабжение и заявки</t>
        </is>
      </c>
      <c r="E40" s="5" t="inlineStr">
        <is>
          <t>Заявки и перемещения в четырёх чатах (овощи, молоко, смузи, хозтовары); Бюджет хозтоваров (доля в файле «Хозтовары Исеть»)</t>
        </is>
      </c>
      <c r="F40" s="10" t="n">
        <v>6</v>
      </c>
      <c r="G40" s="10" t="n">
        <v>1.8</v>
      </c>
      <c r="H40" s="10" t="n">
        <v>4.2</v>
      </c>
      <c r="I40" s="8" t="n">
        <v>1785</v>
      </c>
      <c r="J40" s="5" t="inlineStr">
        <is>
          <t>T28</t>
        </is>
      </c>
      <c r="K40" s="14" t="inlineStr"/>
      <c r="L40" s="14" t="inlineStr"/>
      <c r="M40" s="14" t="inlineStr"/>
      <c r="N40" s="15" t="inlineStr"/>
      <c r="O40" s="14" t="inlineStr"/>
    </row>
    <row r="41" ht="64" customHeight="1">
      <c r="A41" s="5" t="n">
        <v>37</v>
      </c>
      <c r="B41" s="5" t="inlineStr">
        <is>
          <t>BAR</t>
        </is>
      </c>
      <c r="C41" s="5" t="inlineStr">
        <is>
          <t>the Barbara</t>
        </is>
      </c>
      <c r="D41" s="5" t="inlineStr">
        <is>
          <t>Снабжение и заявки</t>
        </is>
      </c>
      <c r="E41" s="5" t="inlineStr">
        <is>
          <t>Заявки снабжению; Бюджет хозтоваров (доля в файле «Хозтовары Исеть»)</t>
        </is>
      </c>
      <c r="F41" s="10" t="n">
        <v>6</v>
      </c>
      <c r="G41" s="10" t="n">
        <v>1.8</v>
      </c>
      <c r="H41" s="10" t="n">
        <v>4.2</v>
      </c>
      <c r="I41" s="8" t="n">
        <v>1785</v>
      </c>
      <c r="J41" s="5" t="inlineStr">
        <is>
          <t>T28</t>
        </is>
      </c>
      <c r="K41" s="14" t="inlineStr"/>
      <c r="L41" s="14" t="inlineStr"/>
      <c r="M41" s="14" t="inlineStr"/>
      <c r="N41" s="15" t="inlineStr"/>
      <c r="O41" s="14" t="inlineStr"/>
    </row>
    <row r="42" ht="64" customHeight="1">
      <c r="A42" s="5" t="n">
        <v>38</v>
      </c>
      <c r="B42" s="5" t="inlineStr">
        <is>
          <t>FK</t>
        </is>
      </c>
      <c r="C42" s="5" t="inlineStr">
        <is>
          <t>Башня: фабрика-кухня и офис (общие службы)</t>
        </is>
      </c>
      <c r="D42" s="5" t="inlineStr">
        <is>
          <t>Отчётность: план-факт, БДР, главные отчёты, итоги</t>
        </is>
      </c>
      <c r="E42" s="5" t="inlineStr">
        <is>
          <t>Недельный БДР: 8 строк ФОТ фабрики-кухни и офиса</t>
        </is>
      </c>
      <c r="F42" s="10" t="n">
        <v>4.6</v>
      </c>
      <c r="G42" s="10" t="n">
        <v>0.46</v>
      </c>
      <c r="H42" s="10" t="n">
        <v>4.14</v>
      </c>
      <c r="I42" s="8" t="n">
        <v>2691</v>
      </c>
      <c r="J42" s="5" t="inlineStr">
        <is>
          <t>T26</t>
        </is>
      </c>
      <c r="K42" s="14" t="inlineStr"/>
      <c r="L42" s="14" t="inlineStr"/>
      <c r="M42" s="14" t="inlineStr"/>
      <c r="N42" s="15" t="inlineStr"/>
      <c r="O42" s="14" t="inlineStr"/>
    </row>
    <row r="43" ht="64" customHeight="1">
      <c r="A43" s="5" t="n">
        <v>39</v>
      </c>
      <c r="B43" s="5" t="inlineStr">
        <is>
          <t>KOR</t>
        </is>
      </c>
      <c r="C43" s="5" t="inlineStr">
        <is>
          <t>Корнеры «Главного» (3 точки)</t>
        </is>
      </c>
      <c r="D43" s="5" t="inlineStr">
        <is>
          <t>План смен и графики</t>
        </is>
      </c>
      <c r="E43" s="5" t="inlineStr">
        <is>
          <t>Штатные расписания в файлах «БДР + ШР + РЕНТ»</t>
        </is>
      </c>
      <c r="F43" s="10" t="n">
        <v>6</v>
      </c>
      <c r="G43" s="10" t="n">
        <v>2.1</v>
      </c>
      <c r="H43" s="10" t="n">
        <v>3.9</v>
      </c>
      <c r="I43" s="8" t="n">
        <v>2340</v>
      </c>
      <c r="J43" s="5" t="inlineStr">
        <is>
          <t>T02</t>
        </is>
      </c>
      <c r="K43" s="14" t="inlineStr"/>
      <c r="L43" s="14" t="inlineStr"/>
      <c r="M43" s="14" t="inlineStr"/>
      <c r="N43" s="15" t="inlineStr"/>
      <c r="O43" s="14" t="inlineStr"/>
    </row>
    <row r="44" ht="64" customHeight="1">
      <c r="A44" s="5" t="n">
        <v>40</v>
      </c>
      <c r="B44" s="5" t="inlineStr">
        <is>
          <t>TRB</t>
        </is>
      </c>
      <c r="C44" s="5" t="inlineStr">
        <is>
          <t>Трибу</t>
        </is>
      </c>
      <c r="D44" s="5" t="inlineStr">
        <is>
          <t>План смен и графики</t>
        </is>
      </c>
      <c r="E44" s="5" t="inlineStr">
        <is>
          <t>Штатное расписание (8 файлов 2025 и октябрь 2026)</t>
        </is>
      </c>
      <c r="F44" s="10" t="n">
        <v>6</v>
      </c>
      <c r="G44" s="10" t="n">
        <v>2.1</v>
      </c>
      <c r="H44" s="10" t="n">
        <v>3.9</v>
      </c>
      <c r="I44" s="8" t="n">
        <v>2340</v>
      </c>
      <c r="J44" s="5" t="inlineStr">
        <is>
          <t>T02</t>
        </is>
      </c>
      <c r="K44" s="14" t="inlineStr"/>
      <c r="L44" s="14" t="inlineStr"/>
      <c r="M44" s="14" t="inlineStr"/>
      <c r="N44" s="15" t="inlineStr"/>
      <c r="O44" s="14" t="inlineStr"/>
    </row>
    <row r="45" ht="64" customHeight="1">
      <c r="A45" s="5" t="n">
        <v>41</v>
      </c>
      <c r="B45" s="5" t="inlineStr">
        <is>
          <t>BWN</t>
        </is>
      </c>
      <c r="C45" s="5" t="inlineStr">
        <is>
          <t>Breadway Нагорный</t>
        </is>
      </c>
      <c r="D45" s="5" t="inlineStr">
        <is>
          <t>План смен и графики</t>
        </is>
      </c>
      <c r="E45" s="5" t="inlineStr">
        <is>
          <t>Штатное расписание</t>
        </is>
      </c>
      <c r="F45" s="10" t="n">
        <v>6</v>
      </c>
      <c r="G45" s="10" t="n">
        <v>2.1</v>
      </c>
      <c r="H45" s="10" t="n">
        <v>3.9</v>
      </c>
      <c r="I45" s="8" t="n">
        <v>2340</v>
      </c>
      <c r="J45" s="5" t="inlineStr">
        <is>
          <t>T02</t>
        </is>
      </c>
      <c r="K45" s="14" t="inlineStr"/>
      <c r="L45" s="14" t="inlineStr"/>
      <c r="M45" s="14" t="inlineStr"/>
      <c r="N45" s="15" t="inlineStr"/>
      <c r="O45" s="14" t="inlineStr"/>
    </row>
    <row r="46" ht="64" customHeight="1">
      <c r="A46" s="5" t="n">
        <v>42</v>
      </c>
      <c r="B46" s="5" t="inlineStr">
        <is>
          <t>BAR</t>
        </is>
      </c>
      <c r="C46" s="5" t="inlineStr">
        <is>
          <t>the Barbara</t>
        </is>
      </c>
      <c r="D46" s="5" t="inlineStr">
        <is>
          <t>План смен и графики</t>
        </is>
      </c>
      <c r="E46" s="5" t="inlineStr">
        <is>
          <t>Штатное расписание (часть ШР Исеть)</t>
        </is>
      </c>
      <c r="F46" s="10" t="n">
        <v>6</v>
      </c>
      <c r="G46" s="10" t="n">
        <v>2.1</v>
      </c>
      <c r="H46" s="10" t="n">
        <v>3.9</v>
      </c>
      <c r="I46" s="8" t="n">
        <v>2340</v>
      </c>
      <c r="J46" s="5" t="inlineStr">
        <is>
          <t>T02</t>
        </is>
      </c>
      <c r="K46" s="14" t="inlineStr"/>
      <c r="L46" s="14" t="inlineStr"/>
      <c r="M46" s="14" t="inlineStr"/>
      <c r="N46" s="15" t="inlineStr"/>
      <c r="O46" s="14" t="inlineStr"/>
    </row>
    <row r="47" ht="64" customHeight="1">
      <c r="A47" s="5" t="n">
        <v>43</v>
      </c>
      <c r="B47" s="5" t="inlineStr">
        <is>
          <t>FK</t>
        </is>
      </c>
      <c r="C47" s="5" t="inlineStr">
        <is>
          <t>Башня: фабрика-кухня и офис (общие службы)</t>
        </is>
      </c>
      <c r="D47" s="5" t="inlineStr">
        <is>
          <t>План смен и графики</t>
        </is>
      </c>
      <c r="E47" s="5" t="inlineStr">
        <is>
          <t>Штатное расписание фабрики-кухни и офиса</t>
        </is>
      </c>
      <c r="F47" s="10" t="n">
        <v>6</v>
      </c>
      <c r="G47" s="10" t="n">
        <v>2.1</v>
      </c>
      <c r="H47" s="10" t="n">
        <v>3.9</v>
      </c>
      <c r="I47" s="8" t="n">
        <v>2340</v>
      </c>
      <c r="J47" s="5" t="inlineStr">
        <is>
          <t>T02</t>
        </is>
      </c>
      <c r="K47" s="14" t="inlineStr"/>
      <c r="L47" s="14" t="inlineStr"/>
      <c r="M47" s="14" t="inlineStr"/>
      <c r="N47" s="15" t="inlineStr"/>
      <c r="O47" s="14" t="inlineStr"/>
    </row>
    <row r="48" ht="64" customHeight="1">
      <c r="A48" s="5" t="n">
        <v>44</v>
      </c>
      <c r="B48" s="5" t="inlineStr">
        <is>
          <t>BWI</t>
        </is>
      </c>
      <c r="C48" s="5" t="inlineStr">
        <is>
          <t>Breadway Исеть</t>
        </is>
      </c>
      <c r="D48" s="5" t="inlineStr">
        <is>
          <t>Снабжение и заявки</t>
        </is>
      </c>
      <c r="E48" s="5" t="inlineStr">
        <is>
          <t>Заявки снабжению</t>
        </is>
      </c>
      <c r="F48" s="10" t="n">
        <v>5</v>
      </c>
      <c r="G48" s="10" t="n">
        <v>1.5</v>
      </c>
      <c r="H48" s="10" t="n">
        <v>3.5</v>
      </c>
      <c r="I48" s="8" t="n">
        <v>1330</v>
      </c>
      <c r="J48" s="5" t="inlineStr">
        <is>
          <t>T28</t>
        </is>
      </c>
      <c r="K48" s="14" t="inlineStr"/>
      <c r="L48" s="14" t="inlineStr"/>
      <c r="M48" s="14" t="inlineStr"/>
      <c r="N48" s="15" t="inlineStr"/>
      <c r="O48" s="14" t="inlineStr"/>
    </row>
    <row r="49" ht="64" customHeight="1">
      <c r="A49" s="5" t="n">
        <v>45</v>
      </c>
      <c r="B49" s="5" t="inlineStr">
        <is>
          <t>CHA</t>
        </is>
      </c>
      <c r="C49" s="5" t="inlineStr">
        <is>
          <t>Чаща</t>
        </is>
      </c>
      <c r="D49" s="5" t="inlineStr">
        <is>
          <t>Снабжение и заявки</t>
        </is>
      </c>
      <c r="E49" s="5" t="inlineStr">
        <is>
          <t>Заявки снабжению</t>
        </is>
      </c>
      <c r="F49" s="10" t="n">
        <v>5</v>
      </c>
      <c r="G49" s="10" t="n">
        <v>1.5</v>
      </c>
      <c r="H49" s="10" t="n">
        <v>3.5</v>
      </c>
      <c r="I49" s="8" t="n">
        <v>1330</v>
      </c>
      <c r="J49" s="5" t="inlineStr">
        <is>
          <t>T28</t>
        </is>
      </c>
      <c r="K49" s="14" t="inlineStr"/>
      <c r="L49" s="14" t="inlineStr"/>
      <c r="M49" s="14" t="inlineStr"/>
      <c r="N49" s="15" t="inlineStr"/>
      <c r="O49" s="14" t="inlineStr"/>
    </row>
    <row r="50" ht="64" customHeight="1">
      <c r="A50" s="5" t="n">
        <v>46</v>
      </c>
      <c r="B50" s="5" t="inlineStr">
        <is>
          <t>BAR</t>
        </is>
      </c>
      <c r="C50" s="5" t="inlineStr">
        <is>
          <t>the Barbara</t>
        </is>
      </c>
      <c r="D50" s="5" t="inlineStr">
        <is>
          <t>Смена: чек-листы, журналы, касса</t>
        </is>
      </c>
      <c r="E50" s="5" t="inlineStr">
        <is>
          <t>Пятиминутка и чек-листы на бумаге</t>
        </is>
      </c>
      <c r="F50" s="10" t="n">
        <v>5</v>
      </c>
      <c r="G50" s="10" t="n">
        <v>1.5</v>
      </c>
      <c r="H50" s="10" t="n">
        <v>3.5</v>
      </c>
      <c r="I50" s="8" t="n">
        <v>1330</v>
      </c>
      <c r="J50" s="5" t="inlineStr">
        <is>
          <t>T01, T04</t>
        </is>
      </c>
      <c r="K50" s="14" t="inlineStr"/>
      <c r="L50" s="14" t="inlineStr"/>
      <c r="M50" s="14" t="inlineStr"/>
      <c r="N50" s="15" t="inlineStr"/>
      <c r="O50" s="14" t="inlineStr"/>
    </row>
    <row r="51" ht="64" customHeight="1">
      <c r="A51" s="5" t="n">
        <v>47</v>
      </c>
      <c r="B51" s="5" t="inlineStr">
        <is>
          <t>CHA</t>
        </is>
      </c>
      <c r="C51" s="5" t="inlineStr">
        <is>
          <t>Чаща</t>
        </is>
      </c>
      <c r="D51" s="5" t="inlineStr">
        <is>
          <t>Смена: чек-листы, журналы, касса</t>
        </is>
      </c>
      <c r="E51" s="5" t="inlineStr">
        <is>
          <t>Чек-листы и шаги сервиса на бумаге</t>
        </is>
      </c>
      <c r="F51" s="10" t="n">
        <v>5</v>
      </c>
      <c r="G51" s="10" t="n">
        <v>1.65</v>
      </c>
      <c r="H51" s="10" t="n">
        <v>3.35</v>
      </c>
      <c r="I51" s="8" t="n">
        <v>1273</v>
      </c>
      <c r="J51" s="5" t="inlineStr">
        <is>
          <t>T04</t>
        </is>
      </c>
      <c r="K51" s="14" t="inlineStr"/>
      <c r="L51" s="14" t="inlineStr"/>
      <c r="M51" s="14" t="inlineStr"/>
      <c r="N51" s="15" t="inlineStr"/>
      <c r="O51" s="14" t="inlineStr"/>
    </row>
    <row r="52" ht="64" customHeight="1">
      <c r="A52" s="5" t="n">
        <v>48</v>
      </c>
      <c r="B52" s="5" t="inlineStr">
        <is>
          <t>TRB</t>
        </is>
      </c>
      <c r="C52" s="5" t="inlineStr">
        <is>
          <t>Трибу</t>
        </is>
      </c>
      <c r="D52" s="5" t="inlineStr">
        <is>
          <t>Ревизии и потери</t>
        </is>
      </c>
      <c r="E52" s="5" t="inlineStr">
        <is>
          <t>Ревизии бара и кухни</t>
        </is>
      </c>
      <c r="F52" s="10" t="n">
        <v>5</v>
      </c>
      <c r="G52" s="10" t="n">
        <v>1.75</v>
      </c>
      <c r="H52" s="10" t="n">
        <v>3.25</v>
      </c>
      <c r="I52" s="8" t="n">
        <v>1950</v>
      </c>
      <c r="J52" s="5" t="inlineStr">
        <is>
          <t>T13</t>
        </is>
      </c>
      <c r="K52" s="14" t="inlineStr"/>
      <c r="L52" s="14" t="inlineStr"/>
      <c r="M52" s="14" t="inlineStr"/>
      <c r="N52" s="15" t="inlineStr"/>
      <c r="O52" s="14" t="inlineStr"/>
    </row>
    <row r="53" ht="64" customHeight="1">
      <c r="A53" s="5" t="n">
        <v>49</v>
      </c>
      <c r="B53" s="5" t="inlineStr">
        <is>
          <t>BWN</t>
        </is>
      </c>
      <c r="C53" s="5" t="inlineStr">
        <is>
          <t>Breadway Нагорный</t>
        </is>
      </c>
      <c r="D53" s="5" t="inlineStr">
        <is>
          <t>Ревизии и потери</t>
        </is>
      </c>
      <c r="E53" s="5" t="inlineStr">
        <is>
          <t>Ревизии бара и кухни</t>
        </is>
      </c>
      <c r="F53" s="10" t="n">
        <v>5</v>
      </c>
      <c r="G53" s="10" t="n">
        <v>1.75</v>
      </c>
      <c r="H53" s="10" t="n">
        <v>3.25</v>
      </c>
      <c r="I53" s="8" t="n">
        <v>1950</v>
      </c>
      <c r="J53" s="5" t="inlineStr">
        <is>
          <t>T13</t>
        </is>
      </c>
      <c r="K53" s="14" t="inlineStr"/>
      <c r="L53" s="14" t="inlineStr"/>
      <c r="M53" s="14" t="inlineStr"/>
      <c r="N53" s="15" t="inlineStr"/>
      <c r="O53" s="14" t="inlineStr"/>
    </row>
    <row r="54" ht="64" customHeight="1">
      <c r="A54" s="5" t="n">
        <v>50</v>
      </c>
      <c r="B54" s="5" t="inlineStr">
        <is>
          <t>BAR</t>
        </is>
      </c>
      <c r="C54" s="5" t="inlineStr">
        <is>
          <t>the Barbara</t>
        </is>
      </c>
      <c r="D54" s="5" t="inlineStr">
        <is>
          <t>Ревизии и потери</t>
        </is>
      </c>
      <c r="E54" s="5" t="inlineStr">
        <is>
          <t>Ревизии бара и кухни Исеть</t>
        </is>
      </c>
      <c r="F54" s="10" t="n">
        <v>5</v>
      </c>
      <c r="G54" s="10" t="n">
        <v>1.75</v>
      </c>
      <c r="H54" s="10" t="n">
        <v>3.25</v>
      </c>
      <c r="I54" s="8" t="n">
        <v>1950</v>
      </c>
      <c r="J54" s="5" t="inlineStr">
        <is>
          <t>T13</t>
        </is>
      </c>
      <c r="K54" s="14" t="inlineStr"/>
      <c r="L54" s="14" t="inlineStr"/>
      <c r="M54" s="14" t="inlineStr"/>
      <c r="N54" s="15" t="inlineStr"/>
      <c r="O54" s="14" t="inlineStr"/>
    </row>
    <row r="55" ht="64" customHeight="1">
      <c r="A55" s="5" t="n">
        <v>51</v>
      </c>
      <c r="B55" s="5" t="inlineStr">
        <is>
          <t>CHA</t>
        </is>
      </c>
      <c r="C55" s="5" t="inlineStr">
        <is>
          <t>Чаща</t>
        </is>
      </c>
      <c r="D55" s="5" t="inlineStr">
        <is>
          <t>Гости, банкеты, доставка</t>
        </is>
      </c>
      <c r="E55" s="5" t="inlineStr">
        <is>
          <t>Гостевая база в Excel (предпочтения гостей)</t>
        </is>
      </c>
      <c r="F55" s="10" t="n">
        <v>4</v>
      </c>
      <c r="G55" s="10" t="n">
        <v>0.8</v>
      </c>
      <c r="H55" s="10" t="n">
        <v>3.2</v>
      </c>
      <c r="I55" s="8" t="n">
        <v>1216</v>
      </c>
      <c r="J55" s="5" t="inlineStr">
        <is>
          <t>T15</t>
        </is>
      </c>
      <c r="K55" s="14" t="inlineStr"/>
      <c r="L55" s="14" t="inlineStr"/>
      <c r="M55" s="14" t="inlineStr"/>
      <c r="N55" s="15" t="inlineStr"/>
      <c r="O55" s="14" t="inlineStr"/>
    </row>
    <row r="56" ht="64" customHeight="1">
      <c r="A56" s="5" t="n">
        <v>52</v>
      </c>
      <c r="B56" s="5" t="inlineStr">
        <is>
          <t>FK</t>
        </is>
      </c>
      <c r="C56" s="5" t="inlineStr">
        <is>
          <t>Башня: фабрика-кухня и офис (общие службы)</t>
        </is>
      </c>
      <c r="D56" s="5" t="inlineStr">
        <is>
          <t>Снабжение и заявки</t>
        </is>
      </c>
      <c r="E56" s="5" t="inlineStr">
        <is>
          <t>Хозтовары Исеть (общий файл снабжения)</t>
        </is>
      </c>
      <c r="F56" s="10" t="n">
        <v>4</v>
      </c>
      <c r="G56" s="10" t="n">
        <v>1.2</v>
      </c>
      <c r="H56" s="10" t="n">
        <v>2.8</v>
      </c>
      <c r="I56" s="8" t="n">
        <v>1820</v>
      </c>
      <c r="J56" s="5" t="inlineStr">
        <is>
          <t>T28</t>
        </is>
      </c>
      <c r="K56" s="14" t="inlineStr"/>
      <c r="L56" s="14" t="inlineStr"/>
      <c r="M56" s="14" t="inlineStr"/>
      <c r="N56" s="15" t="inlineStr"/>
      <c r="O56" s="14" t="inlineStr"/>
    </row>
    <row r="57" ht="64" customHeight="1">
      <c r="A57" s="5" t="n">
        <v>53</v>
      </c>
      <c r="B57" s="5" t="inlineStr">
        <is>
          <t>DEL</t>
        </is>
      </c>
      <c r="C57" s="5" t="inlineStr">
        <is>
          <t>Доставка (Исеть и Нагорный)</t>
        </is>
      </c>
      <c r="D57" s="5" t="inlineStr">
        <is>
          <t>План смен и графики</t>
        </is>
      </c>
      <c r="E57" s="5" t="inlineStr">
        <is>
          <t>Штатное расписание (листы DEL в ШР Исеть и Нагорного)</t>
        </is>
      </c>
      <c r="F57" s="10" t="n">
        <v>4</v>
      </c>
      <c r="G57" s="10" t="n">
        <v>1.4</v>
      </c>
      <c r="H57" s="10" t="n">
        <v>2.6</v>
      </c>
      <c r="I57" s="8" t="n">
        <v>1560</v>
      </c>
      <c r="J57" s="5" t="inlineStr">
        <is>
          <t>T02</t>
        </is>
      </c>
      <c r="K57" s="14" t="inlineStr"/>
      <c r="L57" s="14" t="inlineStr"/>
      <c r="M57" s="14" t="inlineStr"/>
      <c r="N57" s="15" t="inlineStr"/>
      <c r="O57" s="14" t="inlineStr"/>
    </row>
    <row r="58" ht="64" customHeight="1">
      <c r="A58" s="5" t="n">
        <v>54</v>
      </c>
      <c r="B58" s="5" t="inlineStr">
        <is>
          <t>DEL</t>
        </is>
      </c>
      <c r="C58" s="5" t="inlineStr">
        <is>
          <t>Доставка (Исеть и Нагорный)</t>
        </is>
      </c>
      <c r="D58" s="5" t="inlineStr">
        <is>
          <t>Снабжение и заявки</t>
        </is>
      </c>
      <c r="E58" s="5" t="inlineStr">
        <is>
          <t>Заявки снабжению</t>
        </is>
      </c>
      <c r="F58" s="10" t="n">
        <v>3</v>
      </c>
      <c r="G58" s="10" t="n">
        <v>0.8999999999999999</v>
      </c>
      <c r="H58" s="10" t="n">
        <v>2.1</v>
      </c>
      <c r="I58" s="8" t="n">
        <v>798</v>
      </c>
      <c r="J58" s="5" t="inlineStr">
        <is>
          <t>T28</t>
        </is>
      </c>
      <c r="K58" s="14" t="inlineStr"/>
      <c r="L58" s="14" t="inlineStr"/>
      <c r="M58" s="14" t="inlineStr"/>
      <c r="N58" s="15" t="inlineStr"/>
      <c r="O58" s="14" t="inlineStr"/>
    </row>
    <row r="59">
      <c r="A59" s="11" t="inlineStr">
        <is>
          <t>ИТОГО</t>
        </is>
      </c>
      <c r="F59" s="13">
        <f>SUM(F5:F58)</f>
        <v/>
      </c>
      <c r="G59" s="13">
        <f>SUM(G5:G58)</f>
        <v/>
      </c>
      <c r="H59" s="13">
        <f>SUM(H5:H58)</f>
        <v/>
      </c>
      <c r="I59" s="12">
        <f>SUM(I5:I58)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46" customWidth="1" min="3" max="3"/>
    <col width="34" customWidth="1" min="4" max="4"/>
    <col width="10" customWidth="1" min="5" max="5"/>
    <col width="20" customWidth="1" min="6" max="6"/>
    <col width="12" customWidth="1" min="7" max="7"/>
    <col width="46" customWidth="1" min="8" max="8"/>
    <col width="40" customWidth="1" min="9" max="9"/>
    <col width="8" customWidth="1" min="10" max="10"/>
    <col width="8" customWidth="1" min="11" max="11"/>
    <col width="8" customWidth="1" min="12" max="12"/>
    <col width="34" customWidth="1" min="13" max="13"/>
    <col width="18" customWidth="1" min="14" max="14"/>
    <col width="10" customWidth="1" min="15" max="15"/>
  </cols>
  <sheetData>
    <row r="1">
      <c r="A1" s="1" t="inlineStr">
        <is>
          <t>Инвентарь инструментов на диске Bitrix24 (ревизия 16.10.2026)</t>
        </is>
      </c>
    </row>
    <row r="2">
      <c r="A2" s="2" t="inlineStr">
        <is>
          <t>Что компания ведёт сегодня файлами и чатами; где лежит; кто ведёт; слабость; часы в месяц; что с этим делает реестр инструментов. Персональные данные из файлов не перенесены.</t>
        </is>
      </c>
    </row>
    <row r="4" ht="40" customHeight="1">
      <c r="A4" s="3" t="inlineStr">
        <is>
          <t>№</t>
        </is>
      </c>
      <c r="B4" s="3" t="inlineStr">
        <is>
          <t>Контур</t>
        </is>
      </c>
      <c r="C4" s="3" t="inlineStr">
        <is>
          <t>Инструмент и файлы</t>
        </is>
      </c>
      <c r="D4" s="3" t="inlineStr">
        <is>
          <t>Где на диске Bitrix24</t>
        </is>
      </c>
      <c r="E4" s="3" t="inlineStr">
        <is>
          <t>Формат</t>
        </is>
      </c>
      <c r="F4" s="3" t="inlineStr">
        <is>
          <t>Кто ведёт (роль)</t>
        </is>
      </c>
      <c r="G4" s="3" t="inlineStr">
        <is>
          <t>Ритм</t>
        </is>
      </c>
      <c r="H4" s="3" t="inlineStr">
        <is>
          <t>Что внутри</t>
        </is>
      </c>
      <c r="I4" s="3" t="inlineStr">
        <is>
          <t>Слабость или риск</t>
        </is>
      </c>
      <c r="J4" s="3" t="inlineStr">
        <is>
          <t>Часов в месяц: офис и УК</t>
        </is>
      </c>
      <c r="K4" s="3" t="inlineStr">
        <is>
          <t>Часов в месяц: управляющие и шефы</t>
        </is>
      </c>
      <c r="L4" s="3" t="inlineStr">
        <is>
          <t>Часов в месяц: линейный персонал</t>
        </is>
      </c>
      <c r="M4" s="3" t="inlineStr">
        <is>
          <t>Решение реестра</t>
        </is>
      </c>
      <c r="N4" s="3" t="inlineStr">
        <is>
          <t>Инструмент реестра</t>
        </is>
      </c>
      <c r="O4" s="3" t="inlineStr">
        <is>
          <t>Волна</t>
        </is>
      </c>
    </row>
    <row r="5" ht="90" customHeight="1">
      <c r="A5" s="5" t="inlineStr">
        <is>
          <t>A1</t>
        </is>
      </c>
      <c r="B5" s="5" t="inlineStr">
        <is>
          <t>A. ФОТ, табели, графики</t>
        </is>
      </c>
      <c r="C5" s="5" t="inlineStr">
        <is>
          <t>Табели «Онлайн-ФОТ» объектов — 9 файлов: Табель Онлайн-Фот BWI; ТАБЕЛЬ ОКТЯБРЬ 2026 и «Табель и AP» (Нагорный); ТАБЕЛЬ ОНЛАЙН ФОТ (Barbara); ОНЛАЙН ТАБЕЛЬ TRIBU 2026; ТАБЕЛЬ ОНЛАЙН ФОТ ЧАЩА; Табель онлайн ФОТ Анкор 2026; Онлайн ФОТ ДОСТАВКА; ФОТ КОРНЕРЫ В битрикс (11 МБ); ФОТ БЗ</t>
        </is>
      </c>
      <c r="D5" s="5" t="inlineStr">
        <is>
          <t>Общий диск → общие папки объектов (BWI_, BWN_, the BARBARA_/ФОТ, TRIBU_/ОНЛАЙН ФОТ TRIBU, Чаща_/ФОТ, Encore/МЕНЕДЖЕРАМ, Доставка_, Корнеры_/ФОТ, План_Факт/Банкетный зал)</t>
        </is>
      </c>
      <c r="E5" s="5" t="inlineStr">
        <is>
          <t>Excel, по 1–5 листов на месяц</t>
        </is>
      </c>
      <c r="F5" s="5" t="inlineStr">
        <is>
          <t>Управляющий или менеджер объекта</t>
        </is>
      </c>
      <c r="G5" s="5" t="inlineStr">
        <is>
          <t>Ежедневно (часы по сотрудникам), закрытие месяца</t>
        </is>
      </c>
      <c r="H5" s="5" t="inlineStr">
        <is>
          <t>Часы по дням на каждого сотрудника, ставка, оклад, процент от выручки, KPI, премия, отпуск, вычеты по актам, авансы наличными и на карту, РКО, медкнижки, остаток к выплате; у Нагорного — выручка и доля ФОТ по дням; у Доставки — нормы ФОТ по подразделениям</t>
        </is>
      </c>
      <c r="I5" s="5" t="inlineStr">
        <is>
          <t>Девять разных структур одного и того же документа; формульные ошибки (#REF!, #ССЫЛКА!); ФИО, телефоны и суммы по людям лежат на общем диске; файлы 2–11 МБ; часы не связаны с явками iiko и с планом смен</t>
        </is>
      </c>
      <c r="J5" s="10" t="n">
        <v>0</v>
      </c>
      <c r="K5" s="10" t="n">
        <v>90</v>
      </c>
      <c r="L5" s="10" t="n">
        <v>0</v>
      </c>
      <c r="M5" s="5" t="inlineStr">
        <is>
          <t>Заменить</t>
        </is>
      </c>
      <c r="N5" s="5" t="inlineStr">
        <is>
          <t>T32 единый табель → T03 ФОТ недели</t>
        </is>
      </c>
      <c r="O5" s="5" t="inlineStr">
        <is>
          <t>1</t>
        </is>
      </c>
    </row>
    <row r="6" ht="90" customHeight="1">
      <c r="A6" s="5" t="inlineStr">
        <is>
          <t>A2</t>
        </is>
      </c>
      <c r="B6" s="5" t="inlineStr">
        <is>
          <t>A. ФОТ, табели, графики</t>
        </is>
      </c>
      <c r="C6" s="5" t="inlineStr">
        <is>
          <t>Свод зарплаты сети: «ЗП GC АВГУСТ 2026 СВОД», «ЗП GC СЕНТЯБРЬ 2026 СВОД» (1,9–2,1 МБ), «ФОТ маркетинг 2026»</t>
        </is>
      </c>
      <c r="D6" s="5" t="inlineStr">
        <is>
          <t>Общий диск → Отчеты УК → ФОТ</t>
        </is>
      </c>
      <c r="E6" s="5" t="inlineStr">
        <is>
          <t>Excel: лист УК и листы по объектам (копии табелей)</t>
        </is>
      </c>
      <c r="F6" s="5" t="inlineStr">
        <is>
          <t>Финансовый директор, бухгалтер</t>
        </is>
      </c>
      <c r="G6" s="5" t="inlineStr">
        <is>
          <t>Ежемесячно, к 14 числу</t>
        </is>
      </c>
      <c r="H6" s="5" t="inlineStr">
        <is>
          <t>Лист УК: оклад, премия, отпуск, удержания, авансы и расчёт по каждому руководителю; листы объектов — копии табелей с итогами ФОТ и долей от выручки; распределение УК между Good Community и гастромоллом</t>
        </is>
      </c>
      <c r="I6" s="5" t="inlineStr">
        <is>
          <t>Собирается копированием из девяти табелей; зарплаты руководителей по ФИО в папке «Отчёты УК»; используется в ОДР через ручной перенос</t>
        </is>
      </c>
      <c r="J6" s="10" t="n">
        <v>24</v>
      </c>
      <c r="K6" s="10" t="n">
        <v>0</v>
      </c>
      <c r="L6" s="10" t="n">
        <v>0</v>
      </c>
      <c r="M6" s="5" t="inlineStr">
        <is>
          <t>Заменить сборку, оставить результат</t>
        </is>
      </c>
      <c r="N6" s="5" t="inlineStr">
        <is>
          <t>T32, T03, T08</t>
        </is>
      </c>
      <c r="O6" s="5" t="inlineStr">
        <is>
          <t>1</t>
        </is>
      </c>
    </row>
    <row r="7" ht="90" customHeight="1">
      <c r="A7" s="5" t="inlineStr">
        <is>
          <t>A3</t>
        </is>
      </c>
      <c r="B7" s="5" t="inlineStr">
        <is>
          <t>A. ФОТ, табели, графики</t>
        </is>
      </c>
      <c r="C7" s="5" t="inlineStr">
        <is>
          <t>Штатные расписания: «ШР сентябрь/октябрь/ноябрь Исеть», «ШР Нагорный 2026», «ШР TRIBU» (8 файлов 2025 и октябрь 2026), «Мастер график Чаща 2026», «ШР ... ББ ФК Анкор» (5 файлов), «Расписание» Анкор</t>
        </is>
      </c>
      <c r="D7" s="5" t="inlineStr">
        <is>
          <t>Общий диск → Штатные расписания ИСЕТЬ; BWN_; TRIBU_/ШР TRIBU; Чаща_/ФОТ; Encore/ШР и БДР</t>
        </is>
      </c>
      <c r="E7" s="5" t="inlineStr">
        <is>
          <t>Excel: сетка смен на месяц по должностям</t>
        </is>
      </c>
      <c r="F7" s="5" t="inlineStr">
        <is>
          <t>Управляющий и ОД</t>
        </is>
      </c>
      <c r="G7" s="5" t="inlineStr">
        <is>
          <t>Ежемесячно</t>
        </is>
      </c>
      <c r="H7" s="5" t="inlineStr">
        <is>
          <t>Смены по дням на каждую должность, стоимость часа, оклад, процент от выручки, премия, плановая выручка и расчётный ФОТ на месяц, доля ФОТ по цехам</t>
        </is>
      </c>
      <c r="I7" s="5" t="inlineStr">
        <is>
          <t>План смен строится от привычки, а не от прогноза гостей по часам; шесть независимых файлов; #REF! в мастер-графике Чащи; ставки открыты всем, кто видит папку</t>
        </is>
      </c>
      <c r="J7" s="10" t="n">
        <v>0</v>
      </c>
      <c r="K7" s="10" t="n">
        <v>72</v>
      </c>
      <c r="L7" s="10" t="n">
        <v>0</v>
      </c>
      <c r="M7" s="5" t="inlineStr">
        <is>
          <t>Поглотить</t>
        </is>
      </c>
      <c r="N7" s="5" t="inlineStr">
        <is>
          <t>T02 планировщик смен (ШР становится его результатом)</t>
        </is>
      </c>
      <c r="O7" s="5" t="inlineStr">
        <is>
          <t>1 (пилот)</t>
        </is>
      </c>
    </row>
    <row r="8" ht="90" customHeight="1">
      <c r="A8" s="5" t="inlineStr">
        <is>
          <t>A4</t>
        </is>
      </c>
      <c r="B8" s="5" t="inlineStr">
        <is>
          <t>A. ФОТ, табели, графики</t>
        </is>
      </c>
      <c r="C8" s="5" t="inlineStr">
        <is>
          <t>«График сервис» BWI — недельный график официантов, хостес, барменов, мойщиц</t>
        </is>
      </c>
      <c r="D8" s="5" t="inlineStr">
        <is>
          <t>Общий диск → BWI_ Общая папка → Менеджеры</t>
        </is>
      </c>
      <c r="E8" s="5" t="inlineStr">
        <is>
          <t>Excel, лист на неделю</t>
        </is>
      </c>
      <c r="F8" s="5" t="inlineStr">
        <is>
          <t>Менеджер зала</t>
        </is>
      </c>
      <c r="G8" s="5" t="inlineStr">
        <is>
          <t>Еженедельно</t>
        </is>
      </c>
      <c r="H8" s="5" t="inlineStr">
        <is>
          <t>Смены вида «8-22», «10-23», выходные, стажёры и «наличники», телефоны сотрудников</t>
        </is>
      </c>
      <c r="I8" s="5" t="inlineStr">
        <is>
          <t>Третья копия одних и тех же часов (ШР, табель, график); телефоны на общем диске</t>
        </is>
      </c>
      <c r="J8" s="10" t="n">
        <v>0</v>
      </c>
      <c r="K8" s="10" t="n">
        <v>8</v>
      </c>
      <c r="L8" s="10" t="n">
        <v>0</v>
      </c>
      <c r="M8" s="5" t="inlineStr">
        <is>
          <t>Поглотить</t>
        </is>
      </c>
      <c r="N8" s="5" t="inlineStr">
        <is>
          <t>T02</t>
        </is>
      </c>
      <c r="O8" s="5" t="inlineStr">
        <is>
          <t>1</t>
        </is>
      </c>
    </row>
    <row r="9" ht="90" customHeight="1">
      <c r="A9" s="5" t="inlineStr">
        <is>
          <t>A5</t>
        </is>
      </c>
      <c r="B9" s="5" t="inlineStr">
        <is>
          <t>A. ФОТ, табели, графики</t>
        </is>
      </c>
      <c r="C9" s="5" t="inlineStr">
        <is>
          <t>Авансы: папки «Аванс сентябрь/октябрь/ноябрь/декабрь», «АВАНС УК 2026», «АВАНСЫ КОРНЕРЫ», «Аванс ББ Анкор БЗ ФК» (июль, август)</t>
        </is>
      </c>
      <c r="D9" s="5" t="inlineStr">
        <is>
          <t>Общий диск → Авансы; Авансы ББ Анкор БЗ ФК</t>
        </is>
      </c>
      <c r="E9" s="5" t="inlineStr">
        <is>
          <t>Excel-ведомости</t>
        </is>
      </c>
      <c r="F9" s="5" t="inlineStr">
        <is>
          <t>Бухгалтерия, управляющие</t>
        </is>
      </c>
      <c r="G9" s="5" t="inlineStr">
        <is>
          <t>Два раза в месяц</t>
        </is>
      </c>
      <c r="H9" s="5" t="inlineStr">
        <is>
          <t>ФИО, должность, статус оформления, юрлицо, сумма аванса наличными и на карту, комментарии</t>
        </is>
      </c>
      <c r="I9" s="5" t="inlineStr">
        <is>
          <t>Ведомости с ФИО, суммами и статусами оформления на общем диске</t>
        </is>
      </c>
      <c r="J9" s="10" t="n">
        <v>8</v>
      </c>
      <c r="K9" s="10" t="n">
        <v>0</v>
      </c>
      <c r="L9" s="10" t="n">
        <v>0</v>
      </c>
      <c r="M9" s="5" t="inlineStr">
        <is>
          <t>Источник; перенести в закрытую папку</t>
        </is>
      </c>
      <c r="N9" s="5" t="inlineStr">
        <is>
          <t>T10 платёжный календарь</t>
        </is>
      </c>
      <c r="O9" s="5" t="inlineStr">
        <is>
          <t>2</t>
        </is>
      </c>
    </row>
    <row r="10" ht="90" customHeight="1">
      <c r="A10" s="5" t="inlineStr">
        <is>
          <t>B1</t>
        </is>
      </c>
      <c r="B10" s="5" t="inlineStr">
        <is>
          <t>B. План-факт и отчёты объектов</t>
        </is>
      </c>
      <c r="C10" s="5" t="inlineStr">
        <is>
          <t>«ПЛАН ФАКТ GC &lt;месяц&gt; 2026» — август, сентябрь, октябрь</t>
        </is>
      </c>
      <c r="D10" s="5" t="inlineStr">
        <is>
          <t>Общий диск → План _ Факт</t>
        </is>
      </c>
      <c r="E10" s="5" t="inlineStr">
        <is>
          <t>Excel: 15 листов по объектам и свод</t>
        </is>
      </c>
      <c r="F10" s="5" t="inlineStr">
        <is>
          <t>Помощник ИД/ФД (ввод факта), ИД</t>
        </is>
      </c>
      <c r="G10" s="5" t="inlineStr">
        <is>
          <t>Ежедневно</t>
        </is>
      </c>
      <c r="H10" s="5" t="inlineStr">
        <is>
          <t>По дням: выручка и гости прошлого года по дню недели, план выручки, гостей и чека, факт, процент выполнения, накопленное отставание; свод по 15 подразделениям с трекингом на конец месяца; корнеры по трём точкам; банкетный зал по неделям</t>
        </is>
      </c>
      <c r="I10" s="5" t="inlineStr">
        <is>
          <t>Факт вводится руками каждый день, хотя он уже есть в ночном снимке iiko и в отчёте управляющего; #DIV/0! на будущих днях; расхождения с iiko (в презентациях Barbara план гостей 9 629 при факте 4 985)</t>
        </is>
      </c>
      <c r="J10" s="10" t="n">
        <v>22</v>
      </c>
      <c r="K10" s="10" t="n">
        <v>0</v>
      </c>
      <c r="L10" s="10" t="n">
        <v>0</v>
      </c>
      <c r="M10" s="5" t="inlineStr">
        <is>
          <t>Заменить</t>
        </is>
      </c>
      <c r="N10" s="5" t="inlineStr">
        <is>
          <t>T06 светофор объектов и отчёт управляющего (план вводится раз в месяц)</t>
        </is>
      </c>
      <c r="O10" s="5" t="inlineStr">
        <is>
          <t>1</t>
        </is>
      </c>
    </row>
    <row r="11" ht="90" customHeight="1">
      <c r="A11" s="5" t="inlineStr">
        <is>
          <t>B2</t>
        </is>
      </c>
      <c r="B11" s="5" t="inlineStr">
        <is>
          <t>B. План-факт и отчёты объектов</t>
        </is>
      </c>
      <c r="C11" s="5" t="inlineStr">
        <is>
          <t>«Главные отчёты» объектов — 8 файлов: BWI, the BARBARA, Чаща, TRIBU, Encore, Корнеры (две копии), Банкетный зал, DELIVERY</t>
        </is>
      </c>
      <c r="D11" s="5" t="inlineStr">
        <is>
          <t>Общие папки объектов (папки «Главные отчёты», «ОСНОВНЫЕ ОТЧЕТЫ», БДР Корнеры, Доставка_)</t>
        </is>
      </c>
      <c r="E11" s="5" t="inlineStr">
        <is>
          <t>Excel, 6–12 листов</t>
        </is>
      </c>
      <c r="F11" s="5" t="inlineStr">
        <is>
          <t>Управляющий, маркетинг</t>
        </is>
      </c>
      <c r="G11" s="5" t="inlineStr">
        <is>
          <t>Ежемесячно</t>
        </is>
      </c>
      <c r="H11" s="5" t="inlineStr">
        <is>
          <t>Выручка, гости, чеки и средний чек по месяцам 2020–2026 с динамикой; Яндекс Бизнес, 2ГИС, сайт, Instagram, RFM-сегменты, NPS, дорожная карта PR</t>
        </is>
      </c>
      <c r="I11" s="5" t="inlineStr">
        <is>
          <t>В файле BWI лист «ПРОВЕРКА ФОРМУЛ»: 202 исправления формул 17.08.2026 и 7 нерешённых вопросов (чеки расходятся с гостями на 8–24 п.п. после перехода на chain-сервер iiko); в Encore #REF!; «средний чек» делился на гостей; цифры переносятся руками</t>
        </is>
      </c>
      <c r="J11" s="10" t="n">
        <v>8</v>
      </c>
      <c r="K11" s="10" t="n">
        <v>24</v>
      </c>
      <c r="L11" s="10" t="n">
        <v>0</v>
      </c>
      <c r="M11" s="5" t="inlineStr">
        <is>
          <t>Заменить</t>
        </is>
      </c>
      <c r="N11" s="5" t="inlineStr">
        <is>
          <t>T06 (месячная витрина из снимка iiko), T17 (кабинеты маркетинга)</t>
        </is>
      </c>
      <c r="O11" s="5" t="inlineStr">
        <is>
          <t>1–2</t>
        </is>
      </c>
    </row>
    <row r="12" ht="90" customHeight="1">
      <c r="A12" s="5" t="inlineStr">
        <is>
          <t>B3</t>
        </is>
      </c>
      <c r="B12" s="5" t="inlineStr">
        <is>
          <t>B. План-факт и отчёты объектов</t>
        </is>
      </c>
      <c r="C12" s="5" t="inlineStr">
        <is>
          <t>«BREADWAY Нагорный Ежемесячный бланк руководителей» — единое лекало итогов месяца</t>
        </is>
      </c>
      <c r="D12" s="5" t="inlineStr">
        <is>
          <t>Общий диск → BWN_ Общая папка</t>
        </is>
      </c>
      <c r="E12" s="5" t="inlineStr">
        <is>
          <t>Excel: Инструкция, Управляющий, Шеф, Бар, CEO-дашборд, Навигация</t>
        </is>
      </c>
      <c r="F12" s="5" t="inlineStr">
        <is>
          <t>Управляющий, шеф, бар-менеджер</t>
        </is>
      </c>
      <c r="G12" s="5" t="inlineStr">
        <is>
          <t>Ежемесячно</t>
        </is>
      </c>
      <c r="H12" s="5" t="inlineStr">
        <is>
          <t>План, факт, прошлый период и комментарий по финансам, гостям, команде; достижения, проблемы, уникальный гостевой опыт, план следующего месяца; лист CEO-дашборда</t>
        </is>
      </c>
      <c r="I12" s="5" t="inlineStr">
        <is>
          <t>Цифры вводятся руками (есть текст вместо чисел: «0,49%», «353225\1185»); лист CEO-дашборда требует «перенести факт из листа руководителя»; лекало есть только у одного объекта</t>
        </is>
      </c>
      <c r="J12" s="10" t="n">
        <v>0</v>
      </c>
      <c r="K12" s="10" t="n">
        <v>12</v>
      </c>
      <c r="L12" s="10" t="n">
        <v>0</v>
      </c>
      <c r="M12" s="5" t="inlineStr">
        <is>
          <t>Поглотить</t>
        </is>
      </c>
      <c r="N12" s="5" t="inlineStr">
        <is>
          <t>T33 итоги месяца объекта (цифры автоматически, текст от руководителей), T29 экран ГД</t>
        </is>
      </c>
      <c r="O12" s="5" t="inlineStr">
        <is>
          <t>2</t>
        </is>
      </c>
    </row>
    <row r="13" ht="90" customHeight="1">
      <c r="A13" s="5" t="inlineStr">
        <is>
          <t>B4</t>
        </is>
      </c>
      <c r="B13" s="5" t="inlineStr">
        <is>
          <t>B. План-факт и отчёты объектов</t>
        </is>
      </c>
      <c r="C13" s="5" t="inlineStr">
        <is>
          <t>Презентации итогов месяца — 15 файлов за сентябрь: Barbara, Корнеры, Чаща (55 МБ), Нагорный, Исеть, Доставка, Банкетный зал (35 МБ), Encore, маркетинг по четырём брендам, HR-департамент (17 МБ)</t>
        </is>
      </c>
      <c r="D13" s="5" t="inlineStr">
        <is>
          <t>Диск Вертера → Ежемесячные планерки → СЕНТЯБРЬ 2026</t>
        </is>
      </c>
      <c r="E13" s="5" t="inlineStr">
        <is>
          <t>PowerPoint и PDF</t>
        </is>
      </c>
      <c r="F13" s="5" t="inlineStr">
        <is>
          <t>Управляющие, маркетинг, HR</t>
        </is>
      </c>
      <c r="G13" s="5" t="inlineStr">
        <is>
          <t>Ежемесячно к отчётному собранию</t>
        </is>
      </c>
      <c r="H13" s="5" t="inlineStr">
        <is>
          <t>Финансы, гости и лояльность, NPS, кост и ФОТ, ревизии, персонал, достижения, планы</t>
        </is>
      </c>
      <c r="I13" s="5" t="inlineStr">
        <is>
          <t>У каждого свой формат; цифры вручную; 150 МБ файлов в месяц; сравнить объекты между собой нельзя</t>
        </is>
      </c>
      <c r="J13" s="10" t="n">
        <v>8</v>
      </c>
      <c r="K13" s="10" t="n">
        <v>48</v>
      </c>
      <c r="L13" s="10" t="n">
        <v>0</v>
      </c>
      <c r="M13" s="5" t="inlineStr">
        <is>
          <t>Заменить</t>
        </is>
      </c>
      <c r="N13" s="5" t="inlineStr">
        <is>
          <t>T33 и T01 (единая структура, цифры из систем)</t>
        </is>
      </c>
      <c r="O13" s="5" t="inlineStr">
        <is>
          <t>2</t>
        </is>
      </c>
    </row>
    <row r="14" ht="90" customHeight="1">
      <c r="A14" s="5" t="inlineStr">
        <is>
          <t>B5</t>
        </is>
      </c>
      <c r="B14" s="5" t="inlineStr">
        <is>
          <t>B. План-факт и отчёты объектов</t>
        </is>
      </c>
      <c r="C14" s="5" t="inlineStr">
        <is>
          <t>«Сравнение БДР и ОДР август 2026» — вердикт по сети и объектам (подготовлен Claude)</t>
        </is>
      </c>
      <c r="D14" s="5" t="inlineStr">
        <is>
          <t>Общий диск → Отчеты УК</t>
        </is>
      </c>
      <c r="E14" s="5" t="inlineStr">
        <is>
          <t>Excel, 10 листов</t>
        </is>
      </c>
      <c r="F14" s="5" t="inlineStr">
        <is>
          <t>ФД</t>
        </is>
      </c>
      <c r="G14" s="5" t="inlineStr">
        <is>
          <t>Разово</t>
        </is>
      </c>
      <c r="H14" s="5" t="inlineStr">
        <is>
          <t>Выполнение плана по выручке, прибыли, ФОТ, себестоимости по объектам; статусы красный/жёлтый/зелёный; план действий</t>
        </is>
      </c>
      <c r="I14" s="5" t="inlineStr">
        <is>
          <t>Сделан один раз вручную; должен выходить автоматически к каждому ОДР</t>
        </is>
      </c>
      <c r="J14" s="10" t="n">
        <v>0</v>
      </c>
      <c r="K14" s="10" t="n">
        <v>0</v>
      </c>
      <c r="L14" s="10" t="n">
        <v>0</v>
      </c>
      <c r="M14" s="5" t="inlineStr">
        <is>
          <t>Оставить как образец</t>
        </is>
      </c>
      <c r="N14" s="5" t="inlineStr">
        <is>
          <t>T08 автосборка ОДР</t>
        </is>
      </c>
      <c r="O14" s="5" t="inlineStr">
        <is>
          <t>1</t>
        </is>
      </c>
    </row>
    <row r="15" ht="90" customHeight="1">
      <c r="A15" s="5" t="inlineStr">
        <is>
          <t>C1</t>
        </is>
      </c>
      <c r="B15" s="5" t="inlineStr">
        <is>
          <t>C. Бюджет, финансы, платежи</t>
        </is>
      </c>
      <c r="C15" s="5" t="inlineStr">
        <is>
          <t>«Недельный БДР &lt;месяц&gt;» — 11 файлов (январь–октябрь, шаблон)</t>
        </is>
      </c>
      <c r="D15" s="5" t="inlineStr">
        <is>
          <t>Общий диск → БДР Рестораны</t>
        </is>
      </c>
      <c r="E15" s="5" t="inlineStr">
        <is>
          <t>Excel: ФОТ по неделям, Себес и списания, листы объектов, Инструкция</t>
        </is>
      </c>
      <c r="F15" s="5" t="inlineStr">
        <is>
          <t>Помощник ИД/ФД</t>
        </is>
      </c>
      <c r="G15" s="5" t="inlineStr">
        <is>
          <t>Еженедельно (вторник)</t>
        </is>
      </c>
      <c r="H15" s="5" t="inlineStr">
        <is>
          <t>ФОТ по 56 подразделениям по неделям; выручка, себестоимость и статьи списаний по объектам из OLAP; маржинальный вклад недели; цеховое питание, развоз, химия</t>
        </is>
      </c>
      <c r="I15" s="5" t="inlineStr">
        <is>
          <t>Ручной ввод ФОТ из табелей и себестоимости из OLAP каждую неделю; хрупкие формулы («КОЛЛЕГИ, ПРОСЬБА НЕ ТРОГАТЬ ФОРМУЛЫ!!!», #REF!, #DIV/0!); два варианта файла за октябрь</t>
        </is>
      </c>
      <c r="J15" s="10" t="n">
        <v>32</v>
      </c>
      <c r="K15" s="10" t="n">
        <v>0</v>
      </c>
      <c r="L15" s="10" t="n">
        <v>0</v>
      </c>
      <c r="M15" s="5" t="inlineStr">
        <is>
          <t>Заменить</t>
        </is>
      </c>
      <c r="N15" s="5" t="inlineStr">
        <is>
          <t>T26 P&amp;L недели (снимок iiko + единый табель)</t>
        </is>
      </c>
      <c r="O15" s="5" t="inlineStr">
        <is>
          <t>1 (перенесено из волны 2)</t>
        </is>
      </c>
    </row>
    <row r="16" ht="90" customHeight="1">
      <c r="A16" s="5" t="inlineStr">
        <is>
          <t>C2</t>
        </is>
      </c>
      <c r="B16" s="5" t="inlineStr">
        <is>
          <t>C. Бюджет, финансы, платежи</t>
        </is>
      </c>
      <c r="C16" s="5" t="inlineStr">
        <is>
          <t>«БДР на октябрь 2026» (1,9 МБ), «План продаж расчет», папка «Бюджеты подразделений»</t>
        </is>
      </c>
      <c r="D16" s="5" t="inlineStr">
        <is>
          <t>Общий диск → Отчеты УК → БДР Планы → Октябрь</t>
        </is>
      </c>
      <c r="E16" s="5" t="inlineStr">
        <is>
          <t>Excel</t>
        </is>
      </c>
      <c r="F16" s="5" t="inlineStr">
        <is>
          <t>ФД, ИД</t>
        </is>
      </c>
      <c r="G16" s="5" t="inlineStr">
        <is>
          <t>Ежемесячно</t>
        </is>
      </c>
      <c r="H16" s="5" t="inlineStr">
        <is>
          <t>План выручки по объектам от средних октября 2025 с трендом 25/26, факты по месяцам 2026, принятые планы «КИ», средний чек и план гостей</t>
        </is>
      </c>
      <c r="I16" s="5" t="inlineStr">
        <is>
          <t>План строится от прошлогоднего среднего, а не от прогноза гостей и календаря событий; принятые планы отличаются от расчёта без фиксации причин (Barbara 13,0 млн против расчётных 12,2)</t>
        </is>
      </c>
      <c r="J16" s="10" t="n">
        <v>40</v>
      </c>
      <c r="K16" s="10" t="n">
        <v>0</v>
      </c>
      <c r="L16" s="10" t="n">
        <v>0</v>
      </c>
      <c r="M16" s="5" t="inlineStr">
        <is>
          <t>Поглотить</t>
        </is>
      </c>
      <c r="N16" s="5" t="inlineStr">
        <is>
          <t>T09 БДР-ассистент</t>
        </is>
      </c>
      <c r="O16" s="5" t="inlineStr">
        <is>
          <t>1 (к декабрю)</t>
        </is>
      </c>
    </row>
    <row r="17" ht="90" customHeight="1">
      <c r="A17" s="5" t="inlineStr">
        <is>
          <t>C3</t>
        </is>
      </c>
      <c r="B17" s="5" t="inlineStr">
        <is>
          <t>C. Бюджет, финансы, платежи</t>
        </is>
      </c>
      <c r="C17" s="5" t="inlineStr">
        <is>
          <t>ОДР по месяцам 2026 — 9 файлов «1_ОДР_&lt;месяц&gt; Накладные по оплате» (3,4–3,8 МБ), «ОДР_2026 Свод», версия сентября «с анализом_2»</t>
        </is>
      </c>
      <c r="D17" s="5" t="inlineStr">
        <is>
          <t>Общий диск → Отчеты УК → ОДР 2026 год</t>
        </is>
      </c>
      <c r="E17" s="5" t="inlineStr">
        <is>
          <t>Excel, 70+ листов</t>
        </is>
      </c>
      <c r="F17" s="5" t="inlineStr">
        <is>
          <t>ФД</t>
        </is>
      </c>
      <c r="G17" s="5" t="inlineStr">
        <is>
          <t>Ежемесячно к 14 числу</t>
        </is>
      </c>
      <c r="H17" s="5" t="inlineStr">
        <is>
          <t>Свод БДР-факт по объектам, накладные по оплате, зарплата, объекты, сверки</t>
        </is>
      </c>
      <c r="I17" s="5" t="inlineStr">
        <is>
          <t>Сборка из iiko, свода ЗП и 1С руками; версии файла; объём</t>
        </is>
      </c>
      <c r="J17" s="10" t="n">
        <v>48</v>
      </c>
      <c r="K17" s="10" t="n">
        <v>0</v>
      </c>
      <c r="L17" s="10" t="n">
        <v>0</v>
      </c>
      <c r="M17" s="5" t="inlineStr">
        <is>
          <t>Заменить сборку</t>
        </is>
      </c>
      <c r="N17" s="5" t="inlineStr">
        <is>
          <t>T08 автосборка ОДР</t>
        </is>
      </c>
      <c r="O17" s="5" t="inlineStr">
        <is>
          <t>1–2</t>
        </is>
      </c>
    </row>
    <row r="18" ht="90" customHeight="1">
      <c r="A18" s="5" t="inlineStr">
        <is>
          <t>C4</t>
        </is>
      </c>
      <c r="B18" s="5" t="inlineStr">
        <is>
          <t>C. Бюджет, финансы, платежи</t>
        </is>
      </c>
      <c r="C18" s="5" t="inlineStr">
        <is>
          <t>«ОДДС_2026» — движение денег по месяцам</t>
        </is>
      </c>
      <c r="D18" s="5" t="inlineStr">
        <is>
          <t>Общий диск → Отчеты УК → ДДС</t>
        </is>
      </c>
      <c r="E18" s="5" t="inlineStr">
        <is>
          <t>Excel</t>
        </is>
      </c>
      <c r="F18" s="5" t="inlineStr">
        <is>
          <t>ФД</t>
        </is>
      </c>
      <c r="G18" s="5" t="inlineStr">
        <is>
          <t>Ежемесячно</t>
        </is>
      </c>
      <c r="H18" s="5" t="inlineStr">
        <is>
          <t>Поступления и выплаты по статьям и месяцам</t>
        </is>
      </c>
      <c r="I18" s="5" t="inlineStr">
        <is>
          <t>Отдельно от ОДР и платежей; план ДДС не ведётся</t>
        </is>
      </c>
      <c r="J18" s="10" t="n">
        <v>0</v>
      </c>
      <c r="K18" s="10" t="n">
        <v>0</v>
      </c>
      <c r="L18" s="10" t="n">
        <v>0</v>
      </c>
      <c r="M18" s="5" t="inlineStr">
        <is>
          <t>Источник</t>
        </is>
      </c>
      <c r="N18" s="5" t="inlineStr">
        <is>
          <t>T10 платёжный календарь</t>
        </is>
      </c>
      <c r="O18" s="5" t="inlineStr">
        <is>
          <t>2</t>
        </is>
      </c>
    </row>
    <row r="19" ht="90" customHeight="1">
      <c r="A19" s="5" t="inlineStr">
        <is>
          <t>C5</t>
        </is>
      </c>
      <c r="B19" s="5" t="inlineStr">
        <is>
          <t>C. Бюджет, финансы, платежи</t>
        </is>
      </c>
      <c r="C19" s="5" t="inlineStr">
        <is>
          <t>«Счета на оплату» — папки по платёжным дням (25.08 … 20.10, 9 папок) и «Счета МАРКЕТИНГ»</t>
        </is>
      </c>
      <c r="D19" s="5" t="inlineStr">
        <is>
          <t>Общий диск → Счета на оплату</t>
        </is>
      </c>
      <c r="E19" s="5" t="inlineStr">
        <is>
          <t>Папки со сканами счетов</t>
        </is>
      </c>
      <c r="F19" s="5" t="inlineStr">
        <is>
          <t>Бухгалтер, ИД</t>
        </is>
      </c>
      <c r="G19" s="5" t="inlineStr">
        <is>
          <t>Еженедельно (понедельник)</t>
        </is>
      </c>
      <c r="H19" s="5" t="inlineStr">
        <is>
          <t>Сканы счетов к оплате на неделю</t>
        </is>
      </c>
      <c r="I19" s="5" t="inlineStr">
        <is>
          <t>Реестра платежей как таблицы нет: приоритеты, лимиты и остатки держатся в голове; сумма недели не видна до оплаты</t>
        </is>
      </c>
      <c r="J19" s="10" t="n">
        <v>32</v>
      </c>
      <c r="K19" s="10" t="n">
        <v>0</v>
      </c>
      <c r="L19" s="10" t="n">
        <v>0</v>
      </c>
      <c r="M19" s="5" t="inlineStr">
        <is>
          <t>Поглотить</t>
        </is>
      </c>
      <c r="N19" s="5" t="inlineStr">
        <is>
          <t>T10 платёжный календарь (распознавание счетов, реестр, лимиты)</t>
        </is>
      </c>
      <c r="O19" s="5" t="inlineStr">
        <is>
          <t>2</t>
        </is>
      </c>
    </row>
    <row r="20" ht="90" customHeight="1">
      <c r="A20" s="5" t="inlineStr">
        <is>
          <t>C6</t>
        </is>
      </c>
      <c r="B20" s="5" t="inlineStr">
        <is>
          <t>C. Бюджет, финансы, платежи</t>
        </is>
      </c>
      <c r="C20" s="5" t="inlineStr">
        <is>
          <t>«Бюджет контроля хоз. товара и упаковки» (Трибу, Корнеры), «Хозтовары Исеть», «Заказы из маркетплейсов»</t>
        </is>
      </c>
      <c r="D20" s="5" t="inlineStr">
        <is>
          <t>BWN_ Общая папка; Снабжение Good Community → Снабжение Исеть</t>
        </is>
      </c>
      <c r="E20" s="5" t="inlineStr">
        <is>
          <t>Excel, лист на месяц</t>
        </is>
      </c>
      <c r="F20" s="5" t="inlineStr">
        <is>
          <t>Снабжение, управляющие</t>
        </is>
      </c>
      <c r="G20" s="5" t="inlineStr">
        <is>
          <t>Еженедельно</t>
        </is>
      </c>
      <c r="H20" s="5" t="inlineStr">
        <is>
          <t>Недельный бюджет и факт по поставщикам хозтоваров и упаковки, доля от выручки, комментарии при отклонении</t>
        </is>
      </c>
      <c r="I20" s="5" t="inlineStr">
        <is>
          <t>Два разных шаблона на одну задачу; перенос из накладных руками; #DIV/0!</t>
        </is>
      </c>
      <c r="J20" s="10" t="n">
        <v>8</v>
      </c>
      <c r="K20" s="10" t="n">
        <v>0</v>
      </c>
      <c r="L20" s="10" t="n">
        <v>0</v>
      </c>
      <c r="M20" s="5" t="inlineStr">
        <is>
          <t>Поглотить</t>
        </is>
      </c>
      <c r="N20" s="5" t="inlineStr">
        <is>
          <t>T28 панель снабжения (хозтовары из накладных iiko по статье), T05 лимиты</t>
        </is>
      </c>
      <c r="O20" s="5" t="inlineStr">
        <is>
          <t>2</t>
        </is>
      </c>
    </row>
    <row r="21" ht="90" customHeight="1">
      <c r="A21" s="5" t="inlineStr">
        <is>
          <t>D1</t>
        </is>
      </c>
      <c r="B21" s="5" t="inlineStr">
        <is>
          <t>D. Ревизии, учёт, списания</t>
        </is>
      </c>
      <c r="C21" s="5" t="inlineStr">
        <is>
          <t>Контур инвентаризаций: «Регламент инвентаризаций» (21 шаг), «GC Ревизии» (график снятий и защит по кварталам), «Защитные файлы» РОСВ (шаблон и папки по месяцам), «Инструкции» (ZeroBalance, iiko Inventory), «Акты сверок в ревизию», «План работ» по 5 объектам, «Фреш отработка»</t>
        </is>
      </c>
      <c r="D21" s="5" t="inlineStr">
        <is>
          <t>Общий диск → Китчен Менеджмент → Ревизии GC; РЕГЛАМЕНТЫ GOOD COMMUNITY → Регламенты учета и санитарии</t>
        </is>
      </c>
      <c r="E21" s="5" t="inlineStr">
        <is>
          <t>Excel, PDF</t>
        </is>
      </c>
      <c r="F21" s="5" t="inlineStr">
        <is>
          <t>Технолог, шефы, бар-менеджеры, кладовщики</t>
        </is>
      </c>
      <c r="G21" s="5" t="inlineStr">
        <is>
          <t>Ежемесячно: снятие на 2–4 неделе, защита 3–6 числа</t>
        </is>
      </c>
      <c r="H21" s="5" t="inlineStr">
        <is>
          <t>График снятий и защит на год; РОСВ 1 и 2, излишки, недостача, ликвидность, мёртвые строки, акты переработки; меры, ответственные, сроки, отметка о выполнении; план работ технолога по объекту</t>
        </is>
      </c>
      <c r="I21" s="5" t="inlineStr">
        <is>
          <t>Самый зрелый процесс компании, но защитный файл, меры и контроль их выполнения ведутся руками в Excel; встречи защит создаются вручную; результаты не попадают в карточку объекта</t>
        </is>
      </c>
      <c r="J21" s="10" t="n">
        <v>12</v>
      </c>
      <c r="K21" s="10" t="n">
        <v>8</v>
      </c>
      <c r="L21" s="10" t="n">
        <v>0</v>
      </c>
      <c r="M21" s="5" t="inlineStr">
        <is>
          <t>Оцифровать</t>
        </is>
      </c>
      <c r="N21" s="5" t="inlineStr">
        <is>
          <t>T13 инвентаризация-помощник (РОСВ из снимка iiko, меры → задачи через T24, встречи защит автоматически)</t>
        </is>
      </c>
      <c r="O21" s="5" t="inlineStr">
        <is>
          <t>2</t>
        </is>
      </c>
    </row>
    <row r="22" ht="90" customHeight="1">
      <c r="A22" s="5" t="inlineStr">
        <is>
          <t>D2</t>
        </is>
      </c>
      <c r="B22" s="5" t="inlineStr">
        <is>
          <t>D. Ревизии, учёт, списания</t>
        </is>
      </c>
      <c r="C22" s="5" t="inlineStr">
        <is>
          <t>«Списания и подсчет зп» — статьи списаний iiko и правила вычетов из зарплаты</t>
        </is>
      </c>
      <c r="D22" s="5" t="inlineStr">
        <is>
          <t>РЕГЛАМЕНТЫ GOOD COMMUNITY → Регламенты учета и санитарии</t>
        </is>
      </c>
      <c r="E22" s="5" t="inlineStr">
        <is>
          <t>PowerPoint, 7 слайдов</t>
        </is>
      </c>
      <c r="F22" s="5" t="inlineStr">
        <is>
          <t>Технолог</t>
        </is>
      </c>
      <c r="G22" s="5" t="inlineStr">
        <is>
          <t>Правило</t>
        </is>
      </c>
      <c r="H22" s="5" t="inlineStr">
        <is>
          <t>Расшифровка статей списаний (порча, бракераж, комплименты, представительские, неликвид, в счёт зарплаты по себестоимости), срок внесения до 12:00 вторника, отчёты iiko для вычетов</t>
        </is>
      </c>
      <c r="I22" s="5" t="inlineStr">
        <is>
          <t>Правило есть, контроля соблюдения сроков и порогов по статьям нет</t>
        </is>
      </c>
      <c r="J22" s="10" t="n">
        <v>0</v>
      </c>
      <c r="K22" s="10" t="n">
        <v>0</v>
      </c>
      <c r="L22" s="10" t="n">
        <v>0</v>
      </c>
      <c r="M22" s="5" t="inlineStr">
        <is>
          <t>Источник правил</t>
        </is>
      </c>
      <c r="N22" s="5" t="inlineStr">
        <is>
          <t>T05 контроль потерь (пороги по статьям и сроки), T32</t>
        </is>
      </c>
      <c r="O22" s="5" t="inlineStr">
        <is>
          <t>1</t>
        </is>
      </c>
    </row>
    <row r="23" ht="90" customHeight="1">
      <c r="A23" s="5" t="inlineStr">
        <is>
          <t>D3</t>
        </is>
      </c>
      <c r="B23" s="5" t="inlineStr">
        <is>
          <t>D. Ревизии, учёт, списания</t>
        </is>
      </c>
      <c r="C23" s="5" t="inlineStr">
        <is>
          <t>«Регламент работы в DXBX» (DocsInBox), «Порядок работы с первичной бухгалтерской документацией»</t>
        </is>
      </c>
      <c r="D23" s="5" t="inlineStr">
        <is>
          <t>Регламенты учета и санитарии; Снабжение Good Community → Регламенты</t>
        </is>
      </c>
      <c r="E23" s="5" t="inlineStr">
        <is>
          <t>PowerPoint, Word</t>
        </is>
      </c>
      <c r="F23" s="5" t="inlineStr">
        <is>
          <t>Снабжение, технолог</t>
        </is>
      </c>
      <c r="G23" s="5" t="inlineStr">
        <is>
          <t>Правило</t>
        </is>
      </c>
      <c r="H23" s="5" t="inlineStr">
        <is>
          <t>Приёмка накладных, ЕГАИС, ЭТрН, проведение в iiko до 12:00 следующего дня, статусы «Принято/Отклонено»</t>
        </is>
      </c>
      <c r="I23" s="5" t="inlineStr">
        <is>
          <t>Соблюдение срока проведения проверяется только при ревизии</t>
        </is>
      </c>
      <c r="J23" s="10" t="n">
        <v>0</v>
      </c>
      <c r="K23" s="10" t="n">
        <v>0</v>
      </c>
      <c r="L23" s="10" t="n">
        <v>0</v>
      </c>
      <c r="M23" s="5" t="inlineStr">
        <is>
          <t>Источник правил</t>
        </is>
      </c>
      <c r="N23" s="5" t="inlineStr">
        <is>
          <t>T28 (сигналы приёмки 09:05 уже работают)</t>
        </is>
      </c>
      <c r="O23" s="5" t="inlineStr">
        <is>
          <t>1</t>
        </is>
      </c>
    </row>
    <row r="24" ht="90" customHeight="1">
      <c r="A24" s="5" t="inlineStr">
        <is>
          <t>D4</t>
        </is>
      </c>
      <c r="B24" s="5" t="inlineStr">
        <is>
          <t>D. Ревизии, учёт, списания</t>
        </is>
      </c>
      <c r="C24" s="5" t="inlineStr">
        <is>
          <t>«Неликвид» — 70 позиций по складам со сроками годности</t>
        </is>
      </c>
      <c r="D24" s="5" t="inlineStr">
        <is>
          <t>Общий диск → Снабжение Good Community</t>
        </is>
      </c>
      <c r="E24" s="5" t="inlineStr">
        <is>
          <t>Excel</t>
        </is>
      </c>
      <c r="F24" s="5" t="inlineStr">
        <is>
          <t>Снабжение, шефы</t>
        </is>
      </c>
      <c r="G24" s="5" t="inlineStr">
        <is>
          <t>По мере</t>
        </is>
      </c>
      <c r="H24" s="5" t="inlineStr">
        <is>
          <t>Товар, склад, количество, срок годности, «просрок / можно использовать», комментарий по использованию</t>
        </is>
      </c>
      <c r="I24" s="5" t="inlineStr">
        <is>
          <t>Ручной список без стоимости и без связи с остатками iiko</t>
        </is>
      </c>
      <c r="J24" s="10" t="n">
        <v>4</v>
      </c>
      <c r="K24" s="10" t="n">
        <v>0</v>
      </c>
      <c r="L24" s="10" t="n">
        <v>0</v>
      </c>
      <c r="M24" s="5" t="inlineStr">
        <is>
          <t>Поглотить</t>
        </is>
      </c>
      <c r="N24" s="5" t="inlineStr">
        <is>
          <t>T13 и T28 (мёртвые строки и сроки из снимка iiko со стоимостью)</t>
        </is>
      </c>
      <c r="O24" s="5" t="inlineStr">
        <is>
          <t>2</t>
        </is>
      </c>
    </row>
    <row r="25" ht="90" customHeight="1">
      <c r="A25" s="5" t="inlineStr">
        <is>
          <t>D5</t>
        </is>
      </c>
      <c r="B25" s="5" t="inlineStr">
        <is>
          <t>D. Ревизии, учёт, списания</t>
        </is>
      </c>
      <c r="C25" s="5" t="inlineStr">
        <is>
          <t>«Оборачиваемость товарных запасов, кг-дн» — 5 файлов «ПРИХОДЫ ОСТАТКИ ТЗ» по объектам (0,6–1,6 МБ)</t>
        </is>
      </c>
      <c r="D25" s="5" t="inlineStr">
        <is>
          <t>Снабжение Good Community → Оборачиваемость</t>
        </is>
      </c>
      <c r="E25" s="5" t="inlineStr">
        <is>
          <t>Excel</t>
        </is>
      </c>
      <c r="F25" s="5" t="inlineStr">
        <is>
          <t>Снабжение</t>
        </is>
      </c>
      <c r="G25" s="5" t="inlineStr">
        <is>
          <t>Разово (26.08.2026)</t>
        </is>
      </c>
      <c r="H25" s="5" t="inlineStr">
        <is>
          <t>Приходы, остатки и товарный запас в днях по номенклатуре</t>
        </is>
      </c>
      <c r="I25" s="5" t="inlineStr">
        <is>
          <t>Разовый расчёт; в панели снабжения ликвидность считается каждую ночь</t>
        </is>
      </c>
      <c r="J25" s="10" t="n">
        <v>8</v>
      </c>
      <c r="K25" s="10" t="n">
        <v>0</v>
      </c>
      <c r="L25" s="10" t="n">
        <v>0</v>
      </c>
      <c r="M25" s="5" t="inlineStr">
        <is>
          <t>Заменить</t>
        </is>
      </c>
      <c r="N25" s="5" t="inlineStr">
        <is>
          <t>T28</t>
        </is>
      </c>
      <c r="O25" s="5" t="inlineStr">
        <is>
          <t>1</t>
        </is>
      </c>
    </row>
    <row r="26" ht="90" customHeight="1">
      <c r="A26" s="5" t="inlineStr">
        <is>
          <t>E1</t>
        </is>
      </c>
      <c r="B26" s="5" t="inlineStr">
        <is>
          <t>E. Снабжение</t>
        </is>
      </c>
      <c r="C26" s="5" t="inlineStr">
        <is>
          <t>«Договоры - контакты» (пометка «Коммерческая тайна»)</t>
        </is>
      </c>
      <c r="D26" s="5" t="inlineStr">
        <is>
          <t>Общий диск → Снабжение Good Community</t>
        </is>
      </c>
      <c r="E26" s="5" t="inlineStr">
        <is>
          <t>Excel, листы по группам</t>
        </is>
      </c>
      <c r="F26" s="5" t="inlineStr">
        <is>
          <t>Снабжение</t>
        </is>
      </c>
      <c r="G26" s="5" t="inlineStr">
        <is>
          <t>По мере</t>
        </is>
      </c>
      <c r="H26" s="5" t="inlineStr">
        <is>
          <t>60+ поставщиков по товарным группам: кванты, время заявки и доставки, контакт, DocsInBox да/нет, номера договоров и отсрочки по пяти юрлицам</t>
        </is>
      </c>
      <c r="I26" s="5" t="inlineStr">
        <is>
          <t>Коммерческая тайна на общем диске; сроки договоров и отсрочек не напоминают о себе; реестра договоров компании нет</t>
        </is>
      </c>
      <c r="J26" s="10" t="n">
        <v>6</v>
      </c>
      <c r="K26" s="10" t="n">
        <v>0</v>
      </c>
      <c r="L26" s="10" t="n">
        <v>0</v>
      </c>
      <c r="M26" s="5" t="inlineStr">
        <is>
          <t>Источник и основа</t>
        </is>
      </c>
      <c r="N26" s="5" t="inlineStr">
        <is>
          <t>T11 реестр договоров и подписок; T28 (кванты и дни заявок для автозаказа)</t>
        </is>
      </c>
      <c r="O26" s="5" t="inlineStr">
        <is>
          <t>1</t>
        </is>
      </c>
    </row>
    <row r="27" ht="90" customHeight="1">
      <c r="A27" s="5" t="inlineStr">
        <is>
          <t>E2</t>
        </is>
      </c>
      <c r="B27" s="5" t="inlineStr">
        <is>
          <t>E. Снабжение</t>
        </is>
      </c>
      <c r="C27" s="5" t="inlineStr">
        <is>
          <t>«Мониторинги», «Динамика цен на овощи», «Матрица товары цены GC», «Цены хозы и упаковка», «Справочник хозов — сопоставление названий», «Матрица по упаковке с фото», «Прайсы поставщиков»</t>
        </is>
      </c>
      <c r="D27" s="5" t="inlineStr">
        <is>
          <t>Снабжение Good Community → Цены и мониторинги</t>
        </is>
      </c>
      <c r="E27" s="5" t="inlineStr">
        <is>
          <t>Excel</t>
        </is>
      </c>
      <c r="F27" s="5" t="inlineStr">
        <is>
          <t>Снабжение</t>
        </is>
      </c>
      <c r="G27" s="5" t="inlineStr">
        <is>
          <t>Ежемесячно</t>
        </is>
      </c>
      <c r="H27" s="5" t="inlineStr">
        <is>
          <t>Цены по товарам у 3–10 поставщиков за кг, фасовка, примечания; матрица согласованных цен; сопоставление названий поставщиков и iiko</t>
        </is>
      </c>
      <c r="I27" s="5" t="inlineStr">
        <is>
          <t>Сбор цен по прайсам и сопоставление названий вручную</t>
        </is>
      </c>
      <c r="J27" s="10" t="n">
        <v>16</v>
      </c>
      <c r="K27" s="10" t="n">
        <v>0</v>
      </c>
      <c r="L27" s="10" t="n">
        <v>0</v>
      </c>
      <c r="M27" s="5" t="inlineStr">
        <is>
          <t>Поглотить</t>
        </is>
      </c>
      <c r="N27" s="5" t="inlineStr">
        <is>
          <t>T28 (согласованные цены и отклонения в накладных уже есть; добавить загрузку прайсов и сопоставление)</t>
        </is>
      </c>
      <c r="O27" s="5" t="inlineStr">
        <is>
          <t>1</t>
        </is>
      </c>
    </row>
    <row r="28" ht="90" customHeight="1">
      <c r="A28" s="5" t="inlineStr">
        <is>
          <t>E3</t>
        </is>
      </c>
      <c r="B28" s="5" t="inlineStr">
        <is>
          <t>E. Снабжение</t>
        </is>
      </c>
      <c r="C28" s="5" t="inlineStr">
        <is>
          <t>«Заявки экспедитору» — отметки поездок по дням и точкам</t>
        </is>
      </c>
      <c r="D28" s="5" t="inlineStr">
        <is>
          <t>Общий диск → Снабжение Good Community</t>
        </is>
      </c>
      <c r="E28" s="5" t="inlineStr">
        <is>
          <t>Excel, лист на месяц</t>
        </is>
      </c>
      <c r="F28" s="5" t="inlineStr">
        <is>
          <t>Снабжение</t>
        </is>
      </c>
      <c r="G28" s="5" t="inlineStr">
        <is>
          <t>Ежедневно</t>
        </is>
      </c>
      <c r="H28" s="5" t="inlineStr">
        <is>
          <t>Поездки экспедитора по пяти точкам по дням (от 13 до 45 в месяц)</t>
        </is>
      </c>
      <c r="I28" s="5" t="inlineStr">
        <is>
          <t>Отдельный журнал; оплата поездок (1 тыс. ₽) считается в ШР отдельно</t>
        </is>
      </c>
      <c r="J28" s="10" t="n">
        <v>2</v>
      </c>
      <c r="K28" s="10" t="n">
        <v>0</v>
      </c>
      <c r="L28" s="10" t="n">
        <v>0</v>
      </c>
      <c r="M28" s="5" t="inlineStr">
        <is>
          <t>Поглотить</t>
        </is>
      </c>
      <c r="N28" s="5" t="inlineStr">
        <is>
          <t>T28 (журнал поездок из пожеланий), T32</t>
        </is>
      </c>
      <c r="O28" s="5" t="inlineStr">
        <is>
          <t>2</t>
        </is>
      </c>
    </row>
    <row r="29" ht="90" customHeight="1">
      <c r="A29" s="5" t="inlineStr">
        <is>
          <t>E4</t>
        </is>
      </c>
      <c r="B29" s="5" t="inlineStr">
        <is>
          <t>E. Снабжение</t>
        </is>
      </c>
      <c r="C29" s="5" t="inlineStr">
        <is>
          <t>«Функционал снабжения» — матрица «процесс × объект × кто отвечает»</t>
        </is>
      </c>
      <c r="D29" s="5" t="inlineStr">
        <is>
          <t>Снабжение Good Community → Регламенты</t>
        </is>
      </c>
      <c r="E29" s="5" t="inlineStr">
        <is>
          <t>Excel</t>
        </is>
      </c>
      <c r="F29" s="5" t="inlineStr">
        <is>
          <t>Руководитель снабжения</t>
        </is>
      </c>
      <c r="G29" s="5" t="inlineStr">
        <is>
          <t>Правило</t>
        </is>
      </c>
      <c r="H29" s="5" t="inlineStr">
        <is>
          <t>Пополнение, приёмка, выдача, учёт, ревизии: кто делает на Башне, в Трибу, гастромолле, Нагорном, Чаще</t>
        </is>
      </c>
      <c r="I29" s="5" t="inlineStr">
        <is>
          <t>Хорошая основа карты функций; не связана с журналом активности</t>
        </is>
      </c>
      <c r="J29" s="10" t="n">
        <v>0</v>
      </c>
      <c r="K29" s="10" t="n">
        <v>0</v>
      </c>
      <c r="L29" s="10" t="n">
        <v>0</v>
      </c>
      <c r="M29" s="5" t="inlineStr">
        <is>
          <t>Источник</t>
        </is>
      </c>
      <c r="N29" s="5" t="inlineStr">
        <is>
          <t>Карта функций ядра, T07 журнал активности</t>
        </is>
      </c>
      <c r="O29" s="5" t="inlineStr">
        <is>
          <t>1</t>
        </is>
      </c>
    </row>
    <row r="30" ht="90" customHeight="1">
      <c r="A30" s="5" t="inlineStr">
        <is>
          <t>E5</t>
        </is>
      </c>
      <c r="B30" s="5" t="inlineStr">
        <is>
          <t>E. Снабжение</t>
        </is>
      </c>
      <c r="C30" s="5" t="inlineStr">
        <is>
          <t>«Заявочные листы Исеть» (папка), «Регламент по работе с ассортиментом», «График отпусков снабжение 2026», «Передача дел»</t>
        </is>
      </c>
      <c r="D30" s="5" t="inlineStr">
        <is>
          <t>Снабжение Good Community</t>
        </is>
      </c>
      <c r="E30" s="5" t="inlineStr">
        <is>
          <t>Папки, Word, Excel</t>
        </is>
      </c>
      <c r="F30" s="5" t="inlineStr">
        <is>
          <t>Снабжение</t>
        </is>
      </c>
      <c r="G30" s="5" t="inlineStr">
        <is>
          <t>По мере</t>
        </is>
      </c>
      <c r="H30" s="5" t="inlineStr">
        <is>
          <t>Заявки объектов, правила новинок и замен, отпуска</t>
        </is>
      </c>
      <c r="I30" s="5" t="inlineStr">
        <is>
          <t>Заявки объектов остаются в файлах, панель снабжения принимает пожелания в чате</t>
        </is>
      </c>
      <c r="J30" s="10" t="n">
        <v>0</v>
      </c>
      <c r="K30" s="10" t="n">
        <v>0</v>
      </c>
      <c r="L30" s="10" t="n">
        <v>0</v>
      </c>
      <c r="M30" s="5" t="inlineStr">
        <is>
          <t>Оставить; заявки → панель</t>
        </is>
      </c>
      <c r="N30" s="5" t="inlineStr">
        <is>
          <t>T28</t>
        </is>
      </c>
      <c r="O30" s="5" t="inlineStr">
        <is>
          <t>1</t>
        </is>
      </c>
    </row>
    <row r="31" ht="90" customHeight="1">
      <c r="A31" s="5" t="inlineStr">
        <is>
          <t>F1</t>
        </is>
      </c>
      <c r="B31" s="5" t="inlineStr">
        <is>
          <t>F. Люди: HR и адаптация</t>
        </is>
      </c>
      <c r="C31" s="5" t="inlineStr">
        <is>
          <t>«Старая форма заявок на трудоустройство» — 120+ строк</t>
        </is>
      </c>
      <c r="D31" s="5" t="inlineStr">
        <is>
          <t>Общий диск → HR-департамент</t>
        </is>
      </c>
      <c r="E31" s="5" t="inlineStr">
        <is>
          <t>Excel</t>
        </is>
      </c>
      <c r="F31" s="5" t="inlineStr">
        <is>
          <t>Управляющие заполняют, HR ведёт</t>
        </is>
      </c>
      <c r="G31" s="5" t="inlineStr">
        <is>
          <t>По мере</t>
        </is>
      </c>
      <c r="H31" s="5" t="inlineStr">
        <is>
          <t>ФИО, должность, объект, телефон, ответственный, дата трудоустройства, уведомление на иностранца, комментарии о документах</t>
        </is>
      </c>
      <c r="I31" s="5" t="inlineStr">
        <is>
          <t>Персональные данные 120+ человек на общем диске; статусы в свободном тексте; оформление не видно как воронка</t>
        </is>
      </c>
      <c r="J31" s="10" t="n">
        <v>8</v>
      </c>
      <c r="K31" s="10" t="n">
        <v>0</v>
      </c>
      <c r="L31" s="10" t="n">
        <v>0</v>
      </c>
      <c r="M31" s="5" t="inlineStr">
        <is>
          <t>Заменить</t>
        </is>
      </c>
      <c r="N31" s="5" t="inlineStr">
        <is>
          <t>T21 воронка найма и оформления в Bitrix24 с ограниченным доступом</t>
        </is>
      </c>
      <c r="O31" s="5" t="inlineStr">
        <is>
          <t>2 (поднято из волны 3)</t>
        </is>
      </c>
    </row>
    <row r="32" ht="90" customHeight="1">
      <c r="A32" s="5" t="inlineStr">
        <is>
          <t>F2</t>
        </is>
      </c>
      <c r="B32" s="5" t="inlineStr">
        <is>
          <t>F. Люди: HR и адаптация</t>
        </is>
      </c>
      <c r="C32" s="5" t="inlineStr">
        <is>
          <t>Бланки заявлений (14 папок по юрлицам) и их копии в 6 папках объектов; «Документы трудоустройства», «Должностные инструкции» (5 юрлиц), «Внутренние документы» (ПВТР, персональные данные), регламент и акты по хищениям</t>
        </is>
      </c>
      <c r="D32" s="5" t="inlineStr">
        <is>
          <t>Общий диск → Бланки заявлений сотрудников; HR-департамент; папки объектов → Бланки заявлений</t>
        </is>
      </c>
      <c r="E32" s="5" t="inlineStr">
        <is>
          <t>Word, PDF</t>
        </is>
      </c>
      <c r="F32" s="5" t="inlineStr">
        <is>
          <t>HR</t>
        </is>
      </c>
      <c r="G32" s="5" t="inlineStr">
        <is>
          <t>Правило</t>
        </is>
      </c>
      <c r="H32" s="5" t="inlineStr">
        <is>
          <t>Бланки заявлений и приказов по юрлицам, должностные инструкции, ПВТР, положения о ПДн, универсальные акты</t>
        </is>
      </c>
      <c r="I32" s="5" t="inlineStr">
        <is>
          <t>Одни и те же бланки лежат в семи местах, версии расходятся; сотрудник ищет бланк через менеджера</t>
        </is>
      </c>
      <c r="J32" s="10" t="n">
        <v>4</v>
      </c>
      <c r="K32" s="10" t="n">
        <v>0</v>
      </c>
      <c r="L32" s="10" t="n">
        <v>0</v>
      </c>
      <c r="M32" s="5" t="inlineStr">
        <is>
          <t>Поглотить</t>
        </is>
      </c>
      <c r="N32" s="5" t="inlineStr">
        <is>
          <t>T20 Гуди выдаёт бланк по запросу; единый источник в кабинете HR</t>
        </is>
      </c>
      <c r="O32" s="5" t="inlineStr">
        <is>
          <t>2</t>
        </is>
      </c>
    </row>
    <row r="33" ht="90" customHeight="1">
      <c r="A33" s="5" t="inlineStr">
        <is>
          <t>F3</t>
        </is>
      </c>
      <c r="B33" s="5" t="inlineStr">
        <is>
          <t>F. Люди: HR и адаптация</t>
        </is>
      </c>
      <c r="C33" s="5" t="inlineStr">
        <is>
          <t>«Дорожная карта HR Гастромолл 2026-2027» (40 мероприятий, бюджет 678 тыс. ₽ на 15 месяцев), «Отчет HR-департамента Сентябрь 2026» (PDF 17 МБ), «Дорожная карта» адаптации корнеров</t>
        </is>
      </c>
      <c r="D33" s="5" t="inlineStr">
        <is>
          <t>Диск группы HR стратегия ГЛАВНЫЙ; Ежемесячные планерки; Новая адаптация → Адаптация в корнерах</t>
        </is>
      </c>
      <c r="E33" s="5" t="inlineStr">
        <is>
          <t>Excel, PDF</t>
        </is>
      </c>
      <c r="F33" s="5" t="inlineStr">
        <is>
          <t>HR</t>
        </is>
      </c>
      <c r="G33" s="5" t="inlineStr">
        <is>
          <t>Ежемесячно</t>
        </is>
      </c>
      <c r="H33" s="5" t="inlineStr">
        <is>
          <t>Календарь мероприятий по циклам, бюджет по месяцам; отчёт HR; задачи адаптации корнеров с ответственным и сроком</t>
        </is>
      </c>
      <c r="I33" s="5" t="inlineStr">
        <is>
          <t>План без следа исполнения (статусы пустые); отчёт — презентация, цифры укомплектованности и текучести считаются руками</t>
        </is>
      </c>
      <c r="J33" s="10" t="n">
        <v>12</v>
      </c>
      <c r="K33" s="10" t="n">
        <v>0</v>
      </c>
      <c r="L33" s="10" t="n">
        <v>0</v>
      </c>
      <c r="M33" s="5" t="inlineStr">
        <is>
          <t>Поглотить</t>
        </is>
      </c>
      <c r="N33" s="5" t="inlineStr">
        <is>
          <t>T22 HR-отчёт автоматически (укомплектованность, текучесть, стаж из табелей); T24 обязательства (дорожные карты → задачи)</t>
        </is>
      </c>
      <c r="O33" s="5" t="inlineStr">
        <is>
          <t>2</t>
        </is>
      </c>
    </row>
    <row r="34" ht="90" customHeight="1">
      <c r="A34" s="5" t="inlineStr">
        <is>
          <t>F4</t>
        </is>
      </c>
      <c r="B34" s="5" t="inlineStr">
        <is>
          <t>F. Люди: HR и адаптация</t>
        </is>
      </c>
      <c r="C34" s="5" t="inlineStr">
        <is>
          <t>Программы адаптации: «Структура адаптации ранера» (5 блоков, уроки, тесты), «Видео для адаптации» (5 роликов), обучающие материалы объектов (Barbara, BWI, Чаща, Корнеры, Анкор: дневник стажёра, адаптация и стандарты), «гудком велком», «TRIBU guide»</t>
        </is>
      </c>
      <c r="D34" s="5" t="inlineStr">
        <is>
          <t>Диск группы Новая адаптация для линейки Гастромолла; папки объектов</t>
        </is>
      </c>
      <c r="E34" s="5" t="inlineStr">
        <is>
          <t>Excel, видео, PDF</t>
        </is>
      </c>
      <c r="F34" s="5" t="inlineStr">
        <is>
          <t>HR, управляющие</t>
        </is>
      </c>
      <c r="G34" s="5" t="inlineStr">
        <is>
          <t>По найму</t>
        </is>
      </c>
      <c r="H34" s="5" t="inlineStr">
        <is>
          <t>Структура уроков и тестов по блокам: компания, сервис, инфраструктура, события, нештатные ситуации; материалы по объектам</t>
        </is>
      </c>
      <c r="I34" s="5" t="inlineStr">
        <is>
          <t>Материалы разложены по объектам, прогресс стажёра не фиксируется</t>
        </is>
      </c>
      <c r="J34" s="10" t="n">
        <v>0</v>
      </c>
      <c r="K34" s="10" t="n">
        <v>0</v>
      </c>
      <c r="L34" s="10" t="n">
        <v>0</v>
      </c>
      <c r="M34" s="5" t="inlineStr">
        <is>
          <t>Источник</t>
        </is>
      </c>
      <c r="N34" s="5" t="inlineStr">
        <is>
          <t>T20 Гуди: обучение и аттестация (материалы в кабинет HR, тесты в Telegram)</t>
        </is>
      </c>
      <c r="O34" s="5" t="inlineStr">
        <is>
          <t>2</t>
        </is>
      </c>
    </row>
    <row r="35" ht="90" customHeight="1">
      <c r="A35" s="5" t="inlineStr">
        <is>
          <t>F5</t>
        </is>
      </c>
      <c r="B35" s="5" t="inlineStr">
        <is>
          <t>F. Люди: HR и адаптация</t>
        </is>
      </c>
      <c r="C35" s="5" t="inlineStr">
        <is>
          <t>«Таблица компенсаций» (алгоритм при конфликте и журнал за октябрь), папка «Объяснительные» (фотографии)</t>
        </is>
      </c>
      <c r="D35" s="5" t="inlineStr">
        <is>
          <t>Общий диск → BWI_ Общая папка → Менеджеры</t>
        </is>
      </c>
      <c r="E35" s="5" t="inlineStr">
        <is>
          <t>Excel, JPG/HEIC</t>
        </is>
      </c>
      <c r="F35" s="5" t="inlineStr">
        <is>
          <t>Менеджеры зала</t>
        </is>
      </c>
      <c r="G35" s="5" t="inlineStr">
        <is>
          <t>По событию</t>
        </is>
      </c>
      <c r="H35" s="5" t="inlineStr">
        <is>
          <t>Что делаем, что даём гостю, куда пишем, за чей счёт компенсация; журнал: дата, ситуация, ответственный, решение</t>
        </is>
      </c>
      <c r="I35" s="5" t="inlineStr">
        <is>
          <t>Ведётся на одном объекте; объяснительные — фотографии без реестра; удаления «Конфликт» в iiko не связаны с журналом</t>
        </is>
      </c>
      <c r="J35" s="10" t="n">
        <v>0</v>
      </c>
      <c r="K35" s="10" t="n">
        <v>4</v>
      </c>
      <c r="L35" s="10" t="n">
        <v>0</v>
      </c>
      <c r="M35" s="5" t="inlineStr">
        <is>
          <t>Поглотить</t>
        </is>
      </c>
      <c r="N35" s="5" t="inlineStr">
        <is>
          <t>T14 отзывы и инциденты + T05 (удаления с причиной «Конфликт» подтягиваются автоматически) — единый журнал инцидентов сети</t>
        </is>
      </c>
      <c r="O35" s="5" t="inlineStr">
        <is>
          <t>2</t>
        </is>
      </c>
    </row>
    <row r="36" ht="90" customHeight="1">
      <c r="A36" s="5" t="inlineStr">
        <is>
          <t>F6</t>
        </is>
      </c>
      <c r="B36" s="5" t="inlineStr">
        <is>
          <t>F. Люди: HR и адаптация</t>
        </is>
      </c>
      <c r="C36" s="5" t="inlineStr">
        <is>
          <t>Санитарные журналы BWI: «Гнойничковый Журнал», «Журнал здоровья», «Ежедневные хозы» (0,5–1 МБ); «Медицинские осмотры GC»; «Регламент мед осмотров»</t>
        </is>
      </c>
      <c r="D36" s="5" t="inlineStr">
        <is>
          <t>BWI_ Общая папка → Менеджеры; Китчен Менеджмент</t>
        </is>
      </c>
      <c r="E36" s="5" t="inlineStr">
        <is>
          <t>Excel</t>
        </is>
      </c>
      <c r="F36" s="5" t="inlineStr">
        <is>
          <t>Менеджеры, технолог</t>
        </is>
      </c>
      <c r="G36" s="5" t="inlineStr">
        <is>
          <t>Ежедневно / по графику</t>
        </is>
      </c>
      <c r="H36" s="5" t="inlineStr">
        <is>
          <t>Ежедневные отметки осмотра сотрудников, расход хозтоваров, сроки медосмотров</t>
        </is>
      </c>
      <c r="I36" s="5" t="inlineStr">
        <is>
          <t>Бумага и Excel без метки времени; напоминаний о медосмотрах нет</t>
        </is>
      </c>
      <c r="J36" s="10" t="n">
        <v>0</v>
      </c>
      <c r="K36" s="10" t="n">
        <v>0</v>
      </c>
      <c r="L36" s="10" t="n">
        <v>24</v>
      </c>
      <c r="M36" s="5" t="inlineStr">
        <is>
          <t>Поглотить</t>
        </is>
      </c>
      <c r="N36" s="5" t="inlineStr">
        <is>
          <t>T04 чек-листы смены и санитарии (журналы здоровья в боте, напоминания о медосмотрах)</t>
        </is>
      </c>
      <c r="O36" s="5" t="inlineStr">
        <is>
          <t>2</t>
        </is>
      </c>
    </row>
    <row r="37" ht="90" customHeight="1">
      <c r="A37" s="5" t="inlineStr">
        <is>
          <t>G1</t>
        </is>
      </c>
      <c r="B37" s="5" t="inlineStr">
        <is>
          <t>G. Маркетинг и гости</t>
        </is>
      </c>
      <c r="C37" s="5" t="inlineStr">
        <is>
          <t>«Маркетинговый реестр Good Community» — носители, офферы партнёров, акции по брендам</t>
        </is>
      </c>
      <c r="D37" s="5" t="inlineStr">
        <is>
          <t>Общий диск → маркетинг рестораны</t>
        </is>
      </c>
      <c r="E37" s="5" t="inlineStr">
        <is>
          <t>Excel, лист на бренд</t>
        </is>
      </c>
      <c r="F37" s="5" t="inlineStr">
        <is>
          <t>Маркетинг</t>
        </is>
      </c>
      <c r="G37" s="5" t="inlineStr">
        <is>
          <t>Ежемесячно</t>
        </is>
      </c>
      <c r="H37" s="5" t="inlineStr">
        <is>
          <t>Digital и POSM носители с макетами и статусами; офферы партнёров с датами; акции (кешбэк на ДР, игристое на завтрак, бонусы за приложение)</t>
        </is>
      </c>
      <c r="I37" s="5" t="inlineStr">
        <is>
          <t>Активности не связаны с продажами: нельзя увидеть, что дал оффер или акция</t>
        </is>
      </c>
      <c r="J37" s="10" t="n">
        <v>4</v>
      </c>
      <c r="K37" s="10" t="n">
        <v>0</v>
      </c>
      <c r="L37" s="10" t="n">
        <v>0</v>
      </c>
      <c r="M37" s="5" t="inlineStr">
        <is>
          <t>Источник</t>
        </is>
      </c>
      <c r="N37" s="5" t="inlineStr">
        <is>
          <t>T17 панель маркетинга и ROMI (реестр активностей с датами против выручки)</t>
        </is>
      </c>
      <c r="O37" s="5" t="inlineStr">
        <is>
          <t>1</t>
        </is>
      </c>
    </row>
    <row r="38" ht="90" customHeight="1">
      <c r="A38" s="5" t="inlineStr">
        <is>
          <t>G2</t>
        </is>
      </c>
      <c r="B38" s="5" t="inlineStr">
        <is>
          <t>G. Маркетинг и гости</t>
        </is>
      </c>
      <c r="C38" s="5" t="inlineStr">
        <is>
          <t>«пуши» — журнал push-рассылок по брендам (390 КБ); RFM-листы в «Главных отчётах»</t>
        </is>
      </c>
      <c r="D38" s="5" t="inlineStr">
        <is>
          <t>маркетинг рестораны; папки объектов</t>
        </is>
      </c>
      <c r="E38" s="5" t="inlineStr">
        <is>
          <t>Excel</t>
        </is>
      </c>
      <c r="F38" s="5" t="inlineStr">
        <is>
          <t>Маркетинг</t>
        </is>
      </c>
      <c r="G38" s="5" t="inlineStr">
        <is>
          <t>Еженедельно</t>
        </is>
      </c>
      <c r="H38" s="5" t="inlineStr">
        <is>
          <t>Дата, время, сегмент, текст, кликабельность, статус; RFM-сегменты по месяцам</t>
        </is>
      </c>
      <c r="I38" s="5" t="inlineStr">
        <is>
          <t>Эффект рассылки на выручку сегмента не замеряется; сегменты собираются вручную в Prime Hill</t>
        </is>
      </c>
      <c r="J38" s="10" t="n">
        <v>8</v>
      </c>
      <c r="K38" s="10" t="n">
        <v>0</v>
      </c>
      <c r="L38" s="10" t="n">
        <v>0</v>
      </c>
      <c r="M38" s="5" t="inlineStr">
        <is>
          <t>Поглотить</t>
        </is>
      </c>
      <c r="N38" s="5" t="inlineStr">
        <is>
          <t>T15 возврат гостей и T17 (рассылка по сегменту → выручка сегмента после рассылки)</t>
        </is>
      </c>
      <c r="O38" s="5" t="inlineStr">
        <is>
          <t>1–2</t>
        </is>
      </c>
    </row>
    <row r="39" ht="90" customHeight="1">
      <c r="A39" s="5" t="inlineStr">
        <is>
          <t>G3</t>
        </is>
      </c>
      <c r="B39" s="5" t="inlineStr">
        <is>
          <t>G. Маркетинг и гости</t>
        </is>
      </c>
      <c r="C39" s="5" t="inlineStr">
        <is>
          <t>«годовой календарь событий» (рестораны 2025 и 2026 по брендам), «Запуск нового меню», «ЧЕК_ЛИСТ подготовки музыкальных форматов», «ДЕГУСТАЦИИ 2026», папка «Просчеты»</t>
        </is>
      </c>
      <c r="D39" s="5" t="inlineStr">
        <is>
          <t>маркетинг рестораны; ДЕГУСТАЦИИ GC</t>
        </is>
      </c>
      <c r="E39" s="5" t="inlineStr">
        <is>
          <t>Excel, PDF</t>
        </is>
      </c>
      <c r="F39" s="5" t="inlineStr">
        <is>
          <t>Маркетинг, шефы</t>
        </is>
      </c>
      <c r="G39" s="5" t="inlineStr">
        <is>
          <t>Ежемесячно</t>
        </is>
      </c>
      <c r="H39" s="5" t="inlineStr">
        <is>
          <t>События, запуски меню, фестивали, съёмки по месяцам и брендам; план запуска меню; дегустации и просчёты блюд</t>
        </is>
      </c>
      <c r="I39" s="5" t="inlineStr">
        <is>
          <t>Календарь не попадает в прогноз гостей и в карточку дня объекта</t>
        </is>
      </c>
      <c r="J39" s="10" t="n">
        <v>0</v>
      </c>
      <c r="K39" s="10" t="n">
        <v>0</v>
      </c>
      <c r="L39" s="10" t="n">
        <v>0</v>
      </c>
      <c r="M39" s="5" t="inlineStr">
        <is>
          <t>Источник</t>
        </is>
      </c>
      <c r="N39" s="5" t="inlineStr">
        <is>
          <t>T17; календарь событий — вход для T02 (прогноз) и T01 (карточка дня); T12 (запуск меню)</t>
        </is>
      </c>
      <c r="O39" s="5" t="inlineStr">
        <is>
          <t>1</t>
        </is>
      </c>
    </row>
    <row r="40" ht="90" customHeight="1">
      <c r="A40" s="5" t="inlineStr">
        <is>
          <t>G4</t>
        </is>
      </c>
      <c r="B40" s="5" t="inlineStr">
        <is>
          <t>G. Маркетинг и гости</t>
        </is>
      </c>
      <c r="C40" s="5" t="inlineStr">
        <is>
          <t>«Прозвоны дни рождений» (две копии: общий диск и BWI/Менеджеры)</t>
        </is>
      </c>
      <c r="D40" s="5" t="inlineStr">
        <is>
          <t>Общий диск; BWI_ → Менеджеры</t>
        </is>
      </c>
      <c r="E40" s="5" t="inlineStr">
        <is>
          <t>Excel</t>
        </is>
      </c>
      <c r="F40" s="5" t="inlineStr">
        <is>
          <t>Менеджеры зала</t>
        </is>
      </c>
      <c r="G40" s="5" t="inlineStr">
        <is>
          <t>По кампании</t>
        </is>
      </c>
      <c r="H40" s="5" t="inlineStr">
        <is>
          <t>15 гостей: имя, телефон, результат звонка (бронь, перезвонить, не интересно)</t>
        </is>
      </c>
      <c r="I40" s="5" t="inlineStr">
        <is>
          <t>Телефоны гостей на общем диске; результат не связан с бронью и визитом по iiko; охват 15 человек</t>
        </is>
      </c>
      <c r="J40" s="10" t="n">
        <v>0</v>
      </c>
      <c r="K40" s="10" t="n">
        <v>2</v>
      </c>
      <c r="L40" s="10" t="n">
        <v>0</v>
      </c>
      <c r="M40" s="5" t="inlineStr">
        <is>
          <t>Заменить</t>
        </is>
      </c>
      <c r="N40" s="5" t="inlineStr">
        <is>
          <t>T15 возврат гостей (список из Prime Hill, скрипт, результат в боте, проверка визита по iiko)</t>
        </is>
      </c>
      <c r="O40" s="5" t="inlineStr">
        <is>
          <t>1 (пилот)</t>
        </is>
      </c>
    </row>
    <row r="41" ht="90" customHeight="1">
      <c r="A41" s="5" t="inlineStr">
        <is>
          <t>G5</t>
        </is>
      </c>
      <c r="B41" s="5" t="inlineStr">
        <is>
          <t>G. Маркетинг и гости</t>
        </is>
      </c>
      <c r="C41" s="5" t="inlineStr">
        <is>
          <t>Конкурентные анализы: «Бары / Завтраки — Конкурентный анализ осень 2025», «Конкурентный Анализ» (корнеры), «Анализ конкурентов 26» (доставка), «Рынок России»</t>
        </is>
      </c>
      <c r="D41" s="5" t="inlineStr">
        <is>
          <t>Корнеры_ → ОСНОВНЫЕ ОТЧЕТЫ; Доставка_</t>
        </is>
      </c>
      <c r="E41" s="5" t="inlineStr">
        <is>
          <t>Excel</t>
        </is>
      </c>
      <c r="F41" s="5" t="inlineStr">
        <is>
          <t>Маркетинг, руководители</t>
        </is>
      </c>
      <c r="G41" s="5" t="inlineStr">
        <is>
          <t>Разово</t>
        </is>
      </c>
      <c r="H41" s="5" t="inlineStr">
        <is>
          <t>Цены и предложения конкурентов по категориям</t>
        </is>
      </c>
      <c r="I41" s="5" t="inlineStr">
        <is>
          <t>Разовые срезы без обновления</t>
        </is>
      </c>
      <c r="J41" s="10" t="n">
        <v>0</v>
      </c>
      <c r="K41" s="10" t="n">
        <v>0</v>
      </c>
      <c r="L41" s="10" t="n">
        <v>0</v>
      </c>
      <c r="M41" s="5" t="inlineStr">
        <is>
          <t>Оставить</t>
        </is>
      </c>
      <c r="N41" s="5" t="inlineStr">
        <is>
          <t>Комната 11 (анализ конкурентов уже делается в Claude Team)</t>
        </is>
      </c>
      <c r="O41" s="5" t="inlineStr">
        <is>
          <t>—</t>
        </is>
      </c>
    </row>
    <row r="42" ht="90" customHeight="1">
      <c r="A42" s="5" t="inlineStr">
        <is>
          <t>H1</t>
        </is>
      </c>
      <c r="B42" s="5" t="inlineStr">
        <is>
          <t>H. Доставка</t>
        </is>
      </c>
      <c r="C42" s="5" t="inlineStr">
        <is>
          <t>«Метрики» доставки — 15 внутренних метрик и 14 метрик на менеджера с формулами, источниками, периодичностью и выводами</t>
        </is>
      </c>
      <c r="D42" s="5" t="inlineStr">
        <is>
          <t>Общий диск → Доставка_ Общая папка</t>
        </is>
      </c>
      <c r="E42" s="5" t="inlineStr">
        <is>
          <t>Excel</t>
        </is>
      </c>
      <c r="F42" s="5" t="inlineStr">
        <is>
          <t>Руководитель доставки</t>
        </is>
      </c>
      <c r="G42" s="5" t="inlineStr">
        <is>
          <t>Задумано: от недели до квартала</t>
        </is>
      </c>
      <c r="H42" s="5" t="inlineStr">
        <is>
          <t>Конверсия сайта, заказы в час/день/неделю, время приготовления и в пути, отток, NPS, время принятия заказа, выручка на менеджера в час, скидки и списания на менеджера</t>
        </is>
      </c>
      <c r="I42" s="5" t="inlineStr">
        <is>
          <t>Готовое техническое задание, но метрики не считаются автоматически</t>
        </is>
      </c>
      <c r="J42" s="10" t="n">
        <v>0</v>
      </c>
      <c r="K42" s="10" t="n">
        <v>0</v>
      </c>
      <c r="L42" s="10" t="n">
        <v>0</v>
      </c>
      <c r="M42" s="5" t="inlineStr">
        <is>
          <t>Источник и ТЗ</t>
        </is>
      </c>
      <c r="N42" s="5" t="inlineStr">
        <is>
          <t>T27 тайминги и метрики доставки (посчитать из снимка iiko DELIVERIES)</t>
        </is>
      </c>
      <c r="O42" s="5" t="inlineStr">
        <is>
          <t>1</t>
        </is>
      </c>
    </row>
    <row r="43" ht="90" customHeight="1">
      <c r="A43" s="5" t="inlineStr">
        <is>
          <t>H2</t>
        </is>
      </c>
      <c r="B43" s="5" t="inlineStr">
        <is>
          <t>H. Доставка</t>
        </is>
      </c>
      <c r="C43" s="5" t="inlineStr">
        <is>
          <t>«Время в пути» — недельные выгрузки iiko по адресам (5 файлов), «Отчет таймингов-готов-доставлен» (квартал, 138 КБ)</t>
        </is>
      </c>
      <c r="D43" s="5" t="inlineStr">
        <is>
          <t>Доставка_ Общая папка → Время в пути</t>
        </is>
      </c>
      <c r="E43" s="5" t="inlineStr">
        <is>
          <t>Excel</t>
        </is>
      </c>
      <c r="F43" s="5" t="inlineStr">
        <is>
          <t>Руководитель доставки</t>
        </is>
      </c>
      <c r="G43" s="5" t="inlineStr">
        <is>
          <t>Еженедельно</t>
        </is>
      </c>
      <c r="H43" s="5" t="inlineStr">
        <is>
          <t>По заказу: печать, накладная, окончание сборки, отправка, минуты в пути, закрытие; адреса гостей</t>
        </is>
      </c>
      <c r="I43" s="5" t="inlineStr">
        <is>
          <t>Выгрузка и разбор по строкам руками; адреса гостей на общем диске; агрегатов по дням и курьерам нет</t>
        </is>
      </c>
      <c r="J43" s="10" t="n">
        <v>0</v>
      </c>
      <c r="K43" s="10" t="n">
        <v>12</v>
      </c>
      <c r="L43" s="10" t="n">
        <v>0</v>
      </c>
      <c r="M43" s="5" t="inlineStr">
        <is>
          <t>Заменить</t>
        </is>
      </c>
      <c r="N43" s="5" t="inlineStr">
        <is>
          <t>T27 (ежедневно из снимка iiko, агрегаты без адресов)</t>
        </is>
      </c>
      <c r="O43" s="5" t="inlineStr">
        <is>
          <t>1</t>
        </is>
      </c>
    </row>
    <row r="44" ht="90" customHeight="1">
      <c r="A44" s="5" t="inlineStr">
        <is>
          <t>H3</t>
        </is>
      </c>
      <c r="B44" s="5" t="inlineStr">
        <is>
          <t>H. Доставка</t>
        </is>
      </c>
      <c r="C44" s="5" t="inlineStr">
        <is>
          <t>«Дорожная карта доставки» (в «Главных отчётах DELIVERY» и отдельным файлом), «ПЛАН ФАКТ DEL», «Return on Investment Доставка», «Тайминги», «Яндекс масс», «Мини-роллы», «Пирог»</t>
        </is>
      </c>
      <c r="D44" s="5" t="inlineStr">
        <is>
          <t>Доставка_ Общая папка</t>
        </is>
      </c>
      <c r="E44" s="5" t="inlineStr">
        <is>
          <t>Excel</t>
        </is>
      </c>
      <c r="F44" s="5" t="inlineStr">
        <is>
          <t>Руководитель доставки, маркетинг</t>
        </is>
      </c>
      <c r="G44" s="5" t="inlineStr">
        <is>
          <t>По мере</t>
        </is>
      </c>
      <c r="H44" s="5" t="inlineStr">
        <is>
          <t>Задачи по блокам (радиус, прайм-тайм, курьеры, CRM, упаковка, рум-сервис) с ответственным, сроком и статусом текстом; расчёты по продуктам</t>
        </is>
      </c>
      <c r="I44" s="5" t="inlineStr">
        <is>
          <t>Статусы в тексте, сроки «пока не указывать»; задачи не в Bitrix24</t>
        </is>
      </c>
      <c r="J44" s="10" t="n">
        <v>0</v>
      </c>
      <c r="K44" s="10" t="n">
        <v>4</v>
      </c>
      <c r="L44" s="10" t="n">
        <v>0</v>
      </c>
      <c r="M44" s="5" t="inlineStr">
        <is>
          <t>Поглотить</t>
        </is>
      </c>
      <c r="N44" s="5" t="inlineStr">
        <is>
          <t>T24 обязательства функций (дорожная карта → задачи «в срок и принято»), T27</t>
        </is>
      </c>
      <c r="O44" s="5" t="inlineStr">
        <is>
          <t>2</t>
        </is>
      </c>
    </row>
    <row r="45" ht="90" customHeight="1">
      <c r="A45" s="5" t="inlineStr">
        <is>
          <t>H4</t>
        </is>
      </c>
      <c r="B45" s="5" t="inlineStr">
        <is>
          <t>H. Доставка</t>
        </is>
      </c>
      <c r="C45" s="5" t="inlineStr">
        <is>
          <t>«РАЗВОЗ_РАЦИОНЫ АНКОР» (2,2 МБ)</t>
        </is>
      </c>
      <c r="D45" s="5" t="inlineStr">
        <is>
          <t>Encore → МЕНЕДЖЕРАМ</t>
        </is>
      </c>
      <c r="E45" s="5" t="inlineStr">
        <is>
          <t>Excel</t>
        </is>
      </c>
      <c r="F45" s="5" t="inlineStr">
        <is>
          <t>Менеджеры Анкор</t>
        </is>
      </c>
      <c r="G45" s="5" t="inlineStr">
        <is>
          <t>Ежедневно</t>
        </is>
      </c>
      <c r="H45" s="5" t="inlineStr">
        <is>
          <t>Журнал рационов и развоза</t>
        </is>
      </c>
      <c r="I45" s="5" t="inlineStr">
        <is>
          <t>Отдельный журнал вне заказов iiko</t>
        </is>
      </c>
      <c r="J45" s="10" t="n">
        <v>0</v>
      </c>
      <c r="K45" s="10" t="n">
        <v>4</v>
      </c>
      <c r="L45" s="10" t="n">
        <v>0</v>
      </c>
      <c r="M45" s="5" t="inlineStr">
        <is>
          <t>Источник</t>
        </is>
      </c>
      <c r="N45" s="5" t="inlineStr">
        <is>
          <t>T27, T28 (рационы как заказы и производство)</t>
        </is>
      </c>
      <c r="O45" s="5" t="inlineStr">
        <is>
          <t>2</t>
        </is>
      </c>
    </row>
    <row r="46" ht="90" customHeight="1">
      <c r="A46" s="5" t="inlineStr">
        <is>
          <t>I1</t>
        </is>
      </c>
      <c r="B46" s="5" t="inlineStr">
        <is>
          <t>I. Банкеты</t>
        </is>
      </c>
      <c r="C46" s="5" t="inlineStr">
        <is>
          <t>«БрониБЗ NEW» — календарь бронирований банкетного зала 2026</t>
        </is>
      </c>
      <c r="D46" s="5" t="inlineStr">
        <is>
          <t>План _ Факт → Банкетный зал_Общая папка</t>
        </is>
      </c>
      <c r="E46" s="5" t="inlineStr">
        <is>
          <t>Excel, строка на дату</t>
        </is>
      </c>
      <c r="F46" s="5" t="inlineStr">
        <is>
          <t>Банкетные менеджеры</t>
        </is>
      </c>
      <c r="G46" s="5" t="inlineStr">
        <is>
          <t>Ежедневно</t>
        </is>
      </c>
      <c r="H46" s="5" t="inlineStr">
        <is>
          <t>Статус (запрос, предбронь, подтверждено, отмена), дата, заказчик, телефон, гостей, бюджет, предоплата, менеджер, юрлицо, площадка, договор, агентские; итоги месяца 2,1–6,3 млн ₽</t>
        </is>
      </c>
      <c r="I46" s="5" t="inlineStr">
        <is>
          <t>Excel вместо сделок: нет воронки и причин отказов, телефоны заказчиков на общем диске, статусы и итоги руками; прогноз загрузки не виден</t>
        </is>
      </c>
      <c r="J46" s="10" t="n">
        <v>16</v>
      </c>
      <c r="K46" s="10" t="n">
        <v>0</v>
      </c>
      <c r="L46" s="10" t="n">
        <v>0</v>
      </c>
      <c r="M46" s="5" t="inlineStr">
        <is>
          <t>Заменить</t>
        </is>
      </c>
      <c r="N46" s="5" t="inlineStr">
        <is>
          <t>T19 банкеты (сделки, воронка, календарь, предоплаты, прогноз загрузки)</t>
        </is>
      </c>
      <c r="O46" s="5" t="inlineStr">
        <is>
          <t>2</t>
        </is>
      </c>
    </row>
    <row r="47" ht="90" customHeight="1">
      <c r="A47" s="5" t="inlineStr">
        <is>
          <t>I2</t>
        </is>
      </c>
      <c r="B47" s="5" t="inlineStr">
        <is>
          <t>I. Банкеты</t>
        </is>
      </c>
      <c r="C47" s="5" t="inlineStr">
        <is>
          <t>«Банкетный зал главные отчеты», «ФОТ БЗ» (2,6 МБ), «ТМЦ БЗ» (2,9 МБ), «Список организаторов ББ», «Шаблон_данных_банкетов_Breadway», КП и презентации банкетов (PDF 18–24 МБ)</t>
        </is>
      </c>
      <c r="D47" s="5" t="inlineStr">
        <is>
          <t>Банкетный зал_Общая папка; корень диска Вертера</t>
        </is>
      </c>
      <c r="E47" s="5" t="inlineStr">
        <is>
          <t>Excel, PDF</t>
        </is>
      </c>
      <c r="F47" s="5" t="inlineStr">
        <is>
          <t>Банкетная служба</t>
        </is>
      </c>
      <c r="G47" s="5" t="inlineStr">
        <is>
          <t>Ежемесячно</t>
        </is>
      </c>
      <c r="H47" s="5" t="inlineStr">
        <is>
          <t>Отчёты, ФОТ, ТМЦ банкетного зала, организаторы, данные для сайта банкетов</t>
        </is>
      </c>
      <c r="I47" s="5" t="inlineStr">
        <is>
          <t>Разрознено; часть уже используется кабинетом банкетов</t>
        </is>
      </c>
      <c r="J47" s="10" t="n">
        <v>0</v>
      </c>
      <c r="K47" s="10" t="n">
        <v>0</v>
      </c>
      <c r="L47" s="10" t="n">
        <v>0</v>
      </c>
      <c r="M47" s="5" t="inlineStr">
        <is>
          <t>Источник</t>
        </is>
      </c>
      <c r="N47" s="5" t="inlineStr">
        <is>
          <t>T19</t>
        </is>
      </c>
      <c r="O47" s="5" t="inlineStr">
        <is>
          <t>2</t>
        </is>
      </c>
    </row>
    <row r="48" ht="90" customHeight="1">
      <c r="A48" s="5" t="inlineStr">
        <is>
          <t>J1</t>
        </is>
      </c>
      <c r="B48" s="5" t="inlineStr">
        <is>
          <t>J. Смена и сервис</t>
        </is>
      </c>
      <c r="C48" s="5" t="inlineStr">
        <is>
          <t>Чек-листы Анкор: «Открытие и закрытие» (4 и 6 этаж), «чек лист ген.уборки» (4 и 6 этаж), «чек лист менеджера Анкор» (день по часам, около 30 пунктов)</t>
        </is>
      </c>
      <c r="D48" s="5" t="inlineStr">
        <is>
          <t>Encore-cafe by BW_ Общая папка → Чек-листы</t>
        </is>
      </c>
      <c r="E48" s="5" t="inlineStr">
        <is>
          <t>Excel</t>
        </is>
      </c>
      <c r="F48" s="5" t="inlineStr">
        <is>
          <t>Менеджеры Анкор</t>
        </is>
      </c>
      <c r="G48" s="5" t="inlineStr">
        <is>
          <t>Ежедневно</t>
        </is>
      </c>
      <c r="H48" s="5" t="inlineStr">
        <is>
          <t>Пункты по времени с 8:00 до 22:00: касса, брифинг, бракераж, стоп-лист, заявки, развоз, РКО, передача смены; отчёты уходят в 8 чатов: Telegram («Шелегов», «цеховое питание», «рко», «выручка», «Доставка GC»), Nextcloud Talk («стоп-лист», «feedback», «передача смены»), WhatsApp («утренний развоз»)</t>
        </is>
      </c>
      <c r="I48" s="5" t="inlineStr">
        <is>
          <t>Чек-листы на бумаге и в Excel, следа выполнения нет; отчётность смены размазана по 8 чатам в 3 мессенджерах; только один объект имеет такой чек-лист</t>
        </is>
      </c>
      <c r="J48" s="10" t="n">
        <v>0</v>
      </c>
      <c r="K48" s="10" t="n">
        <v>0</v>
      </c>
      <c r="L48" s="10" t="n">
        <v>48</v>
      </c>
      <c r="M48" s="5" t="inlineStr">
        <is>
          <t>Заменить</t>
        </is>
      </c>
      <c r="N48" s="5" t="inlineStr">
        <is>
          <t>T04 чек-листы смены в Telegram (пилот — Анкор: чек-листы уже написаны), T01 карточка объекта</t>
        </is>
      </c>
      <c r="O48" s="5" t="inlineStr">
        <is>
          <t>1 (пилот Анкор)</t>
        </is>
      </c>
    </row>
    <row r="49" ht="90" customHeight="1">
      <c r="A49" s="5" t="inlineStr">
        <is>
          <t>J2</t>
        </is>
      </c>
      <c r="B49" s="5" t="inlineStr">
        <is>
          <t>J. Смена и сервис</t>
        </is>
      </c>
      <c r="C49" s="5" t="inlineStr">
        <is>
          <t>«Расстановка Летник» (Barbara), папки «Меню» по объектам, обучающие материалы, брендбуки</t>
        </is>
      </c>
      <c r="D49" s="5" t="inlineStr">
        <is>
          <t>Папки объектов</t>
        </is>
      </c>
      <c r="E49" s="5" t="inlineStr">
        <is>
          <t>PDF, Excel</t>
        </is>
      </c>
      <c r="F49" s="5" t="inlineStr">
        <is>
          <t>Управляющие, маркетинг</t>
        </is>
      </c>
      <c r="G49" s="5" t="inlineStr">
        <is>
          <t>По сезону</t>
        </is>
      </c>
      <c r="H49" s="5" t="inlineStr">
        <is>
          <t>Расстановки, актуальные меню, стандарты</t>
        </is>
      </c>
      <c r="I49" s="5" t="inlineStr">
        <is>
          <t>Контент; инструментом управления не является</t>
        </is>
      </c>
      <c r="J49" s="10" t="n">
        <v>0</v>
      </c>
      <c r="K49" s="10" t="n">
        <v>0</v>
      </c>
      <c r="L49" s="10" t="n">
        <v>0</v>
      </c>
      <c r="M49" s="5" t="inlineStr">
        <is>
          <t>Оставить</t>
        </is>
      </c>
      <c r="N49" s="5" t="inlineStr">
        <is>
          <t>—</t>
        </is>
      </c>
      <c r="O49" s="5" t="inlineStr">
        <is>
          <t>—</t>
        </is>
      </c>
    </row>
    <row r="50" ht="90" customHeight="1">
      <c r="A50" s="5" t="inlineStr">
        <is>
          <t>K1</t>
        </is>
      </c>
      <c r="B50" s="5" t="inlineStr">
        <is>
          <t>K. Регламенты и документы</t>
        </is>
      </c>
      <c r="C50" s="5" t="inlineStr">
        <is>
          <t>Регламенты компании: «РЕГЛАМЕНТЫ GOOD COMMUNITY» (только «Регламенты учета и санитарии», 4 файла; папка «Регламенты финансовой отчетности» пуста); регламенты снабжения — в папке снабжения; HR — в HR-департаменте; инвентаризации — в Китчен менеджмент</t>
        </is>
      </c>
      <c r="D50" s="5" t="inlineStr">
        <is>
          <t>Общий диск, четыре разных места</t>
        </is>
      </c>
      <c r="E50" s="5" t="inlineStr">
        <is>
          <t>Word, Excel, PowerPoint</t>
        </is>
      </c>
      <c r="F50" s="5" t="inlineStr">
        <is>
          <t>Владельцы функций</t>
        </is>
      </c>
      <c r="G50" s="5" t="inlineStr">
        <is>
          <t>Правило</t>
        </is>
      </c>
      <c r="H50" s="5" t="inlineStr">
        <is>
          <t>Инвентаризации, медосмотры, DocsInBox, списания и вычеты, первичка, ассортимент, хищения, ПВТР</t>
        </is>
      </c>
      <c r="I50" s="5" t="inlineStr">
        <is>
          <t>Единого реестра регламентов с владельцем, датой и статусом нет; сотрудник не найдёт регламент по вопросу</t>
        </is>
      </c>
      <c r="J50" s="10" t="n">
        <v>2</v>
      </c>
      <c r="K50" s="10" t="n">
        <v>0</v>
      </c>
      <c r="L50" s="10" t="n">
        <v>0</v>
      </c>
      <c r="M50" s="5" t="inlineStr">
        <is>
          <t>Поглотить</t>
        </is>
      </c>
      <c r="N50" s="5" t="inlineStr">
        <is>
          <t>База знаний Вертера (kb) и Гуди (T20): реестр регламентов, поиск по вопросу, напоминание о пересмотре</t>
        </is>
      </c>
      <c r="O50" s="5" t="inlineStr">
        <is>
          <t>2</t>
        </is>
      </c>
    </row>
    <row r="51" ht="90" customHeight="1">
      <c r="A51" s="5" t="inlineStr">
        <is>
          <t>K2</t>
        </is>
      </c>
      <c r="B51" s="5" t="inlineStr">
        <is>
          <t>K. Регламенты и документы</t>
        </is>
      </c>
      <c r="C51" s="5" t="inlineStr">
        <is>
          <t>«Фирменные бланки юр лиц», «Учредительные документы», «Договоры аренды», «Эквайринг», карточки предприятий</t>
        </is>
      </c>
      <c r="D51" s="5" t="inlineStr">
        <is>
          <t>Общий диск</t>
        </is>
      </c>
      <c r="E51" s="5" t="inlineStr">
        <is>
          <t>Word, PDF</t>
        </is>
      </c>
      <c r="F51" s="5" t="inlineStr">
        <is>
          <t>Бухгалтерия, ИД</t>
        </is>
      </c>
      <c r="G51" s="5" t="inlineStr">
        <is>
          <t>Архив</t>
        </is>
      </c>
      <c r="H51" s="5" t="inlineStr">
        <is>
          <t>Учредительные и договорные документы</t>
        </is>
      </c>
      <c r="I51" s="5" t="inlineStr">
        <is>
          <t>Сроки аренды и условия эквайринга не отслеживаются как реестр</t>
        </is>
      </c>
      <c r="J51" s="10" t="n">
        <v>0</v>
      </c>
      <c r="K51" s="10" t="n">
        <v>0</v>
      </c>
      <c r="L51" s="10" t="n">
        <v>0</v>
      </c>
      <c r="M51" s="5" t="inlineStr">
        <is>
          <t>Оставить; договоры аренды → реестр</t>
        </is>
      </c>
      <c r="N51" s="5" t="inlineStr">
        <is>
          <t>T11 реестр договоров (сроки, индексация, отсрочки)</t>
        </is>
      </c>
      <c r="O51" s="5" t="inlineStr">
        <is>
          <t>1</t>
        </is>
      </c>
    </row>
    <row r="52">
      <c r="A52" s="11" t="inlineStr">
        <is>
          <t>ИТОГО</t>
        </is>
      </c>
      <c r="J52" s="13">
        <f>SUM(J5:J51)</f>
        <v/>
      </c>
      <c r="K52" s="13">
        <f>SUM(K5:K51)</f>
        <v/>
      </c>
      <c r="L52" s="13">
        <f>SUM(L5:L51)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 customWidth="1" min="3" max="3"/>
    <col width="20" customWidth="1" min="4" max="4"/>
    <col width="24" customWidth="1" min="5" max="5"/>
    <col width="44" customWidth="1" min="6" max="6"/>
    <col width="50" customWidth="1" min="7" max="7"/>
    <col width="28" customWidth="1" min="8" max="8"/>
    <col width="26" customWidth="1" min="9" max="9"/>
    <col width="36" customWidth="1" min="10" max="10"/>
    <col width="22" customWidth="1" min="11" max="11"/>
    <col width="8" customWidth="1" min="12" max="12"/>
    <col width="8" customWidth="1" min="13" max="13"/>
    <col width="36" customWidth="1" min="14" max="14"/>
    <col width="12" customWidth="1" min="15" max="15"/>
    <col width="36" customWidth="1" min="16" max="16"/>
  </cols>
  <sheetData>
    <row r="1">
      <c r="A1" s="1" t="inlineStr">
        <is>
          <t>Реестр инструментов: что уже работает и что могут собрать Claude Code и Вертер</t>
        </is>
      </c>
    </row>
    <row r="2">
      <c r="A2" s="2" t="inlineStr">
        <is>
          <t>Статус «Есть» — работает, нужно включить на объекте. «Недель» — срок сборки после решения; несколько инструментов идут параллельно. Используется на шаге 5.</t>
        </is>
      </c>
    </row>
    <row r="4" ht="40" customHeight="1">
      <c r="A4" s="3" t="inlineStr">
        <is>
          <t>Код</t>
        </is>
      </c>
      <c r="B4" s="3" t="inlineStr">
        <is>
          <t>Инструмент</t>
        </is>
      </c>
      <c r="C4" s="3" t="inlineStr">
        <is>
          <t>Статус</t>
        </is>
      </c>
      <c r="D4" s="3" t="inlineStr">
        <is>
          <t>Этап цикла</t>
        </is>
      </c>
      <c r="E4" s="3" t="inlineStr">
        <is>
          <t>Для кого</t>
        </is>
      </c>
      <c r="F4" s="3" t="inlineStr">
        <is>
          <t>Разрыв сегодня</t>
        </is>
      </c>
      <c r="G4" s="3" t="inlineStr">
        <is>
          <t>Что делает</t>
        </is>
      </c>
      <c r="H4" s="3" t="inlineStr">
        <is>
          <t>Данные</t>
        </is>
      </c>
      <c r="I4" s="3" t="inlineStr">
        <is>
          <t>Куда встроен</t>
        </is>
      </c>
      <c r="J4" s="3" t="inlineStr">
        <is>
          <t>Что заменяет (труд, внешний ресурс, ПО)</t>
        </is>
      </c>
      <c r="K4" s="3" t="inlineStr">
        <is>
          <t>Часы в месяц (оценка)</t>
        </is>
      </c>
      <c r="L4" s="3" t="inlineStr">
        <is>
          <t>Могу создать</t>
        </is>
      </c>
      <c r="M4" s="3" t="inlineStr">
        <is>
          <t>Недель на сборку</t>
        </is>
      </c>
      <c r="N4" s="3" t="inlineStr">
        <is>
          <t>Что нужно от компании</t>
        </is>
      </c>
      <c r="O4" s="3" t="inlineStr">
        <is>
          <t>Волна</t>
        </is>
      </c>
      <c r="P4" s="3" t="inlineStr">
        <is>
          <t>Риски и границы</t>
        </is>
      </c>
    </row>
    <row r="5" ht="120" customHeight="1">
      <c r="A5" s="5" t="inlineStr">
        <is>
          <t>T01</t>
        </is>
      </c>
      <c r="B5" s="5" t="inlineStr">
        <is>
          <t>Карточка объекта к брифу смены</t>
        </is>
      </c>
      <c r="C5" s="5" t="inlineStr">
        <is>
          <t>Новый</t>
        </is>
      </c>
      <c r="D5" s="5" t="inlineStr">
        <is>
          <t>3. День после (карточка объекта, сигналы)</t>
        </is>
      </c>
      <c r="E5" s="5" t="inlineStr">
        <is>
          <t>Управляющий и шеф, ОД; копия — ИД</t>
        </is>
      </c>
      <c r="F5" s="5" t="inlineStr">
        <is>
          <t>Управляющие готовят отчёты вручную к собраниям, цифры расходятся (Barbara: план гостей 9 629 вместо 6 000; Нагорный: завтраки + вечер не равны выручке). Ежедневного брифа с цифрами нет.</t>
        </is>
      </c>
      <c r="G5" s="5" t="inlineStr">
        <is>
          <t>Каждое утро в 09:00 в Telegram управляющему и шефу: вчера — гости, выручка и чек к плану и к тому же дню прошлого года, кост, списания, удаления, скидки, часы персонала; новые отзывы; стоп-листы; сегодня — брони и банкеты, прогноз гостей по часам, задачи дня из Bitrix24. Кнопка «принял» и поле «что делаем сегодня».</t>
        </is>
      </c>
      <c r="H5" s="5" t="inlineStr">
        <is>
          <t>Ночной снимок iiko (отчёт управляющего — уже есть), Bitrix24, Prime Hill; позже Restoplace и amoCRM</t>
        </is>
      </c>
      <c r="I5" s="5" t="inlineStr">
        <is>
          <t>Telegram Вертера; та же карточка — в отчёте управляющего (otchet.html)</t>
        </is>
      </c>
      <c r="J5" s="5" t="inlineStr">
        <is>
          <t>Подготовка отчётов управляющими к собраниям (презентации); утренние созвоны ОД «вчера к плану»; часть планёрок</t>
        </is>
      </c>
      <c r="K5" s="5" t="inlineStr">
        <is>
          <t>управляющие и шефы 12 объектов × 4 ч = 48 ч; ОД 10 ч</t>
        </is>
      </c>
      <c r="L5" s="5" t="inlineStr">
        <is>
          <t>Да</t>
        </is>
      </c>
      <c r="M5" s="5" t="inlineStr">
        <is>
          <t>2</t>
        </is>
      </c>
      <c r="N5" s="5" t="inlineStr">
        <is>
          <t>Утвердить состав карточки (ОД); подтвердить, что Telegram-бот Вертера может писать управляющим (они должны один раз написать боту)</t>
        </is>
      </c>
      <c r="O5" s="5" t="inlineStr">
        <is>
          <t>1 (ноябрь)</t>
        </is>
      </c>
      <c r="P5" s="5" t="inlineStr">
        <is>
          <t>Карточка не заменяет обход; риск — её перестанут читать, поэтому кнопка «принял» и реакция ОД на молчание</t>
        </is>
      </c>
    </row>
    <row r="6" ht="120" customHeight="1">
      <c r="A6" s="5" t="inlineStr">
        <is>
          <t>T02</t>
        </is>
      </c>
      <c r="B6" s="5" t="inlineStr">
        <is>
          <t>Планировщик смен по прогнозу гостей</t>
        </is>
      </c>
      <c r="C6" s="5" t="inlineStr">
        <is>
          <t>Новый</t>
        </is>
      </c>
      <c r="D6" s="5" t="inlineStr">
        <is>
          <t>1. Планирование (БДР, графики, закуп)</t>
        </is>
      </c>
      <c r="E6" s="5" t="inlineStr">
        <is>
          <t>Управляющий и шеф (график), ОД (утверждение), ИД и HR (нормы)</t>
        </is>
      </c>
      <c r="F6" s="5" t="inlineStr">
        <is>
          <t>Графики составляются вручную по привычке; в июле сеть отработала 95,6% нормы часов, а доля ФОТ выросла до 36%, в сентябре — 43%. Связи «гости по часам → люди по часам» нет.</t>
        </is>
      </c>
      <c r="G6" s="5" t="inlineStr">
        <is>
          <t>По истории продаж по часам (снимок iiko хранит выручку, чеки и гостей по часу открытия заказа с января прошлого года) строит прогноз гостей на две недели вперёд по дням и часам с учётом броней, банкетов и событий; переводит в потребность в людях по ролям через нормы выработки; сравнивает с графиком iiko и показывает лишние и недостающие часы; после недели — факт явок против прогноза.</t>
        </is>
      </c>
      <c r="H6" s="5" t="inlineStr">
        <is>
          <t>Снимок iiko (почасовые продажи), график и явки iiko (iiko_staff schedule, attendance — перенести в ночной снимок на сервер Вертера), нормы выработки по ролям (HR, ОД), календарь событий</t>
        </is>
      </c>
      <c r="I6" s="5" t="inlineStr">
        <is>
          <t>Отдельная вкладка в отчёте управляющего; еженедельная сводка «лишние часы» ОД и ИД в Telegram; дашборд, комната 8</t>
        </is>
      </c>
      <c r="J6" s="5" t="inlineStr">
        <is>
          <t>Ручное составление графиков; главный рычаг ФОТ — избыточные часы в непиковые периоды (мойка Трибу 159% нормы, кухня БВ Исеть 127%, мойка ФК 243% в июле)</t>
        </is>
      </c>
      <c r="K6" s="5" t="inlineStr">
        <is>
          <t>управляющие 12 × 6 ч = 72 ч на составление графиков</t>
        </is>
      </c>
      <c r="L6" s="5" t="inlineStr">
        <is>
          <t>Да, при доступе</t>
        </is>
      </c>
      <c r="M6" s="5" t="inlineStr">
        <is>
          <t>5</t>
        </is>
      </c>
      <c r="N6" s="5" t="inlineStr">
        <is>
          <t>Нормы выработки по ролям (гостей на официанта, выручка на час повара, посадок на мойщицу) — ОД и HR; график смен ведётся в iiko по всем объектам; решение о пилоте на 2 объектах</t>
        </is>
      </c>
      <c r="O6" s="5" t="inlineStr">
        <is>
          <t>1 (ноябрь, пилот) – 2 (сеть)</t>
        </is>
      </c>
      <c r="P6" s="5" t="inlineStr">
        <is>
          <t>Прогноз ошибается в праздники и при событиях — события вводятся вручную; сокращать часы только там, где выработка ниже нормы; санитарный минимум смены не трогать</t>
        </is>
      </c>
    </row>
    <row r="7" ht="120" customHeight="1">
      <c r="A7" s="5" t="inlineStr">
        <is>
          <t>T03</t>
        </is>
      </c>
      <c r="B7" s="5" t="inlineStr">
        <is>
          <t>ФОТ недели к выручке недели и сверка табеля</t>
        </is>
      </c>
      <c r="C7" s="5" t="inlineStr">
        <is>
          <t>Новый</t>
        </is>
      </c>
      <c r="D7" s="5" t="inlineStr">
        <is>
          <t>4. Неделя (ФОТ, P&amp;L недели, обязательства)</t>
        </is>
      </c>
      <c r="E7" s="5" t="inlineStr">
        <is>
          <t>ОД, ИД, HR, ФД</t>
        </is>
      </c>
      <c r="F7" s="5" t="inlineStr">
        <is>
          <t>Доля ФОТ видна раз в месяц в ОДР, когда менять графики поздно. Свод ЗП (файл 1,9 МБ) собирается вручную; сверка ЗП, ДДС и ОДР была отдельной задачей ФД (№1496).</t>
        </is>
      </c>
      <c r="G7" s="5" t="inlineStr">
        <is>
          <t>По понедельникам: часы по объекту и роли из явок iiko × средняя ставка роли из свода ЗП / выручка недели; сравнение с планом и той же неделей прошлого года; аномалии явок (смены без графика, больше 12 часов, явка без продаж на кассе); к закрытию месяца — автоматическая сверка табеля iiko с файлом ЗП и ОДР.</t>
        </is>
      </c>
      <c r="H7" s="5" t="inlineStr">
        <is>
          <t>Единый табель объектов (T32) как источник часов — явки в iiko ведутся не везде, часы живут в Excel; явки iiko для сверки там, где есть; ставки по ролям без персональных данных; выручка iiko</t>
        </is>
      </c>
      <c r="I7" s="5" t="inlineStr">
        <is>
          <t>Telegram ОД и ИД по понедельникам; дашборд, комната 8; лист сверки для ФД</t>
        </is>
      </c>
      <c r="J7" s="5" t="inlineStr">
        <is>
          <t>Ручная сверка табелей и свода ЗП (HR и ФД); позднее обнаружение перерасхода ФОТ</t>
        </is>
      </c>
      <c r="K7" s="5" t="inlineStr">
        <is>
          <t>HR 16 ч + бухгалтерия/ФД 16 ч на сверку табеля и свода</t>
        </is>
      </c>
      <c r="L7" s="5" t="inlineStr">
        <is>
          <t>Да, при доступе</t>
        </is>
      </c>
      <c r="M7" s="5" t="inlineStr">
        <is>
          <t>3</t>
        </is>
      </c>
      <c r="N7" s="5" t="inlineStr">
        <is>
          <t>Единый шаблон табеля (T32) и закрытая папка ФОТ; ставки по ролям (обезличенно) от HR и ФД; явки iiko — ночью на сервере Вертера там, где ведутся</t>
        </is>
      </c>
      <c r="O7" s="5" t="inlineStr">
        <is>
          <t>1 (ноябрь)</t>
        </is>
      </c>
      <c r="P7" s="5" t="inlineStr">
        <is>
          <t>Персональные данные и суммы по людям не выводятся — только часы по ролям и доли по объектам</t>
        </is>
      </c>
    </row>
    <row r="8" ht="120" customHeight="1">
      <c r="A8" s="5" t="inlineStr">
        <is>
          <t>T04</t>
        </is>
      </c>
      <c r="B8" s="5" t="inlineStr">
        <is>
          <t>Чек-листы смены и санитарии в Telegram</t>
        </is>
      </c>
      <c r="C8" s="5" t="inlineStr">
        <is>
          <t>Новый</t>
        </is>
      </c>
      <c r="D8" s="5" t="inlineStr">
        <is>
          <t>2. Смена (бриф, чек-листы, стоп-листы)</t>
        </is>
      </c>
      <c r="E8" s="5" t="inlineStr">
        <is>
          <t>Менеджер смены, су-шеф, шеф; контроль — управляющий, ОД, СБ</t>
        </is>
      </c>
      <c r="F8" s="5" t="inlineStr">
        <is>
          <t>Открытие и закрытие смены, бракераж, температуры, санитария ведутся на бумаге или не ведутся; санитарная оценка бара Нагорного 59%; инцидент с отравлением в Чаще; гастромолл платит за обходы санитарного врача (281 тыс. ₽ в год).</t>
        </is>
      </c>
      <c r="G8" s="5" t="inlineStr">
        <is>
          <t>Бот присылает чек-лист по роли и времени (открытие, бракераж, температуры холодильников, закрытие), принимает отметки и фото с меткой времени, собирает журнал по объекту; невыполненные пункты уходят управляющему и ОД; еженедельный свод — ИД и СБ; к проверкам — выгрузка журнала.</t>
        </is>
      </c>
      <c r="H8" s="5" t="inlineStr">
        <is>
          <t>Telegram-бот Вертера (сервер), хранение журналов на Google Диске, справочник чек-листов (HR и шефы)</t>
        </is>
      </c>
      <c r="I8" s="5" t="inlineStr">
        <is>
          <t>Telegram; журналы — в карточке объекта и дашборде (комната 13 ядра / 8)</t>
        </is>
      </c>
      <c r="J8" s="5" t="inlineStr">
        <is>
          <t>Бумажные журналы; часть обходов санитарного врача и технолога; подготовка к проверкам вручную</t>
        </is>
      </c>
      <c r="K8" s="5" t="inlineStr">
        <is>
          <t>менеджеры и су-шефы 12 × 8 ч = 96 ч на бумажные журналы и их проверку</t>
        </is>
      </c>
      <c r="L8" s="5" t="inlineStr">
        <is>
          <t>Да</t>
        </is>
      </c>
      <c r="M8" s="5" t="inlineStr">
        <is>
          <t>3</t>
        </is>
      </c>
      <c r="N8" s="5" t="inlineStr">
        <is>
          <t>Утверждённые чек-листы по ролям (шефы, HR, технолог); решение, что фото обязательны</t>
        </is>
      </c>
      <c r="O8" s="5" t="inlineStr">
        <is>
          <t>1 (ноябрь)</t>
        </is>
      </c>
      <c r="P8" s="5" t="inlineStr">
        <is>
          <t>Не заменяет технолога и проверки; риск формальных отметок — выборочная проверка СБ по фото</t>
        </is>
      </c>
    </row>
    <row r="9" ht="120" customHeight="1">
      <c r="A9" s="5" t="inlineStr">
        <is>
          <t>T05</t>
        </is>
      </c>
      <c r="B9" s="5" t="inlineStr">
        <is>
          <t>Контроль потерь: удаления, скидки, возвраты, подозрительные чеки</t>
        </is>
      </c>
      <c r="C9" s="5" t="inlineStr">
        <is>
          <t>Новый</t>
        </is>
      </c>
      <c r="D9" s="5" t="inlineStr">
        <is>
          <t>3. День после (карточка объекта, сигналы)</t>
        </is>
      </c>
      <c r="E9" s="5" t="inlineStr">
        <is>
          <t>СБ (Кондрашов), управляющий, ФД</t>
        </is>
      </c>
      <c r="F9" s="5" t="inlineStr">
        <is>
          <t>СБ проверяет подозрительные чеки вручную раз в месяц (№2988: 643 чека из 13 381 за месяц); удаление сертификата на 221 тыс. в Encore нашли случайно (№3278); скидки персоналу и комплименты без лимитов.</t>
        </is>
      </c>
      <c r="G9" s="5" t="inlineStr">
        <is>
          <t>Каждую ночь из снимка iiko: удаления без списания, чеки с возвратом, скидки выше порога и вне смены сотрудника, комплименты и представительские сверх лимита, столы открытые дольше нормы, кассовые расхождения смены; утром — список управляющему и СБ с суммой и официантом; еженедельно — рейтинг объектов по потерям.</t>
        </is>
      </c>
      <c r="H9" s="5" t="inlineStr">
        <is>
          <t>Снимок iiko (отчёт управляющего: удаления, скидки, оплаты; кассовые смены — iiko_staff cash_shifts), пороги от СБ и ФД</t>
        </is>
      </c>
      <c r="I9" s="5" t="inlineStr">
        <is>
          <t>Telegram (СБ, управляющий); дашборд, комната 8 «Смены и кассы»</t>
        </is>
      </c>
      <c r="J9" s="5" t="inlineStr">
        <is>
          <t>Ручная выборка чеков СБ и ФД; потери от злоупотреблений и ошибок</t>
        </is>
      </c>
      <c r="K9" s="5" t="inlineStr">
        <is>
          <t>СБ 20 ч + ФД 6 ч в месяц на ручные проверки</t>
        </is>
      </c>
      <c r="L9" s="5" t="inlineStr">
        <is>
          <t>Да</t>
        </is>
      </c>
      <c r="M9" s="5" t="inlineStr">
        <is>
          <t>3</t>
        </is>
      </c>
      <c r="N9" s="5" t="inlineStr">
        <is>
          <t>Пороги (СБ, ФД); список, кому писать по объектам</t>
        </is>
      </c>
      <c r="O9" s="5" t="inlineStr">
        <is>
          <t>1 (ноябрь)</t>
        </is>
      </c>
      <c r="P9" s="5" t="inlineStr">
        <is>
          <t>Сигнал — не обвинение: разбирает управляющий и СБ; персональные данные гостей не используются</t>
        </is>
      </c>
    </row>
    <row r="10" ht="120" customHeight="1">
      <c r="A10" s="5" t="inlineStr">
        <is>
          <t>T06</t>
        </is>
      </c>
      <c r="B10" s="5" t="inlineStr">
        <is>
          <t>Светофор объектов и направлений (экран ИД и ОД)</t>
        </is>
      </c>
      <c r="C10" s="5" t="inlineStr">
        <is>
          <t>Есть, расширить</t>
        </is>
      </c>
      <c r="D10" s="5" t="inlineStr">
        <is>
          <t>3. День после (карточка объекта, сигналы)</t>
        </is>
      </c>
      <c r="E10" s="5" t="inlineStr">
        <is>
          <t>ИД, ОД; ГД — свод</t>
        </is>
      </c>
      <c r="F10" s="5" t="inlineStr">
        <is>
          <t>Дашборд «Комнаты управления» показывает комнаты, но карточки объекта со светофором по метрикам ядра нет; ИД готовит статус для ГД вручную (1 час в неделю), ОД обзванивает объекты. План-факт по дням ведётся руками в файле «ПЛАН ФАКТ GC» (22 ч/мес), «Главные отчёты» объектов — восемь Excel с ручным переносом цифр и 202 исправлениями формул в одном из них (ревизия диска 16.10).</t>
        </is>
      </c>
      <c r="G10" s="5" t="inlineStr">
        <is>
          <t>Карточка каждого объекта: гости и выручка вчера и за неделю к плану и прошлому году, кост, списания, ФОТ недели, тайминги, стоп-листы, кассовые расхождения, новые отзывы, просрочки задач; светофор по порогам реестра метрик; красный — уведомление ИД в тот же день (порог вмешательства ГД: отклонение более 20% две недели подряд).</t>
        </is>
      </c>
      <c r="H10" s="5" t="inlineStr">
        <is>
          <t>Снимок iiko, Bitrix24, Prime Hill, витрина KPI; пороги из реестра метрик (шаг 3 внедрения ядра)</t>
        </is>
      </c>
      <c r="I10" s="5" t="inlineStr">
        <is>
          <t>dashboard.html — новые экраны «ИД» и «Объект»; утренняя сводка в Telegram</t>
        </is>
      </c>
      <c r="J10" s="5" t="inlineStr">
        <is>
          <t>Подготовка статуса ИД для ГД; обзвоны ОД; ручные таблицы к планёркам</t>
        </is>
      </c>
      <c r="K10" s="5" t="inlineStr">
        <is>
          <t>ИД 4 ч + ОД 8 ч + управляющие 12 ч в месяц</t>
        </is>
      </c>
      <c r="L10" s="5" t="inlineStr">
        <is>
          <t>Да</t>
        </is>
      </c>
      <c r="M10" s="5" t="inlineStr">
        <is>
          <t>3</t>
        </is>
      </c>
      <c r="N10" s="5" t="inlineStr">
        <is>
          <t>Реестр метрик v1 с порогами (шаг 3 внедрения ядра, до 31.10)</t>
        </is>
      </c>
      <c r="O10" s="5" t="inlineStr">
        <is>
          <t>1 (ноябрь)</t>
        </is>
      </c>
      <c r="P10" s="5" t="inlineStr">
        <is>
          <t>Без утверждённых порогов светофор не имеет смысла — сначала реестр метрик</t>
        </is>
      </c>
    </row>
    <row r="11" ht="120" customHeight="1">
      <c r="A11" s="5" t="inlineStr">
        <is>
          <t>T07</t>
        </is>
      </c>
      <c r="B11" s="5" t="inlineStr">
        <is>
          <t>Журнал активности по ролям</t>
        </is>
      </c>
      <c r="C11" s="5" t="inlineStr">
        <is>
          <t>Новый</t>
        </is>
      </c>
      <c r="D11" s="5" t="inlineStr">
        <is>
          <t>4. Неделя (ФОТ, P&amp;L недели, обязательства)</t>
        </is>
      </c>
      <c r="E11" s="5" t="inlineStr">
        <is>
          <t>ГД, ИД, ОД; руководители функций — по своим людям</t>
        </is>
      </c>
      <c r="F11" s="5" t="inlineStr">
        <is>
          <t>Собственник не видит, какая работа ведётся и насколько активно; оценка идёт по впечатлению на совещаниях. Договорённости июля: из 24 пунктов 9 выполнено — контроль вручную.</t>
        </is>
      </c>
      <c r="G11" s="5" t="inlineStr">
        <is>
          <t>Раз в неделю по каждой роли — ожидаемые результаты против фактических следов в системах: задачи Bitrix24 (созданы, закрыты в срок, просрочены, без движения 7 дней), документы iiko (инвентаризации по графику, списания оформлены в день, накладные приняты, стоп-листы сняты), карточки смены приняты, чек-листы сданы, отчёт управляющего открыт (личные ссылки позволяют считать открытия), звонки гостям залогированы, отзывы отвечены, планы и отчёты сданы к сроку. Светофор по роли и объекту; без оценок личности — только факты выполнения.</t>
        </is>
      </c>
      <c r="H11" s="5" t="inlineStr">
        <is>
          <t>Bitrix24 REST, снимок iiko (документы по складам), журналы ботов (карточки, чек-листы, звонки), журнал открытий страниц моста, Prime Hill</t>
        </is>
      </c>
      <c r="I11" s="5" t="inlineStr">
        <is>
          <t>Дашборд, комната 10 «Задачи и решения» → раздел «Активность»; еженедельный свод ГД и ИД в Telegram</t>
        </is>
      </c>
      <c r="J11" s="5" t="inlineStr">
        <is>
          <t>Ручной контроль исполнения (ИД, ГД); часть вопросов «а что сделано?» на совещаниях</t>
        </is>
      </c>
      <c r="K11" s="5" t="inlineStr">
        <is>
          <t>ИД 8 ч + ГД 4 ч в месяц</t>
        </is>
      </c>
      <c r="L11" s="5" t="inlineStr">
        <is>
          <t>Да</t>
        </is>
      </c>
      <c r="M11" s="5" t="inlineStr">
        <is>
          <t>4 (поэтапно)</t>
        </is>
      </c>
      <c r="N11" s="5" t="inlineStr">
        <is>
          <t>Утвердить перечень ожидаемых результатов по ролям (из карты функций ядра); сообщить команде, что считается и зачем</t>
        </is>
      </c>
      <c r="O11" s="5" t="inlineStr">
        <is>
          <t>1–2 (ноябрь – декабрь)</t>
        </is>
      </c>
      <c r="P11" s="5" t="inlineStr">
        <is>
          <t>Считаются результаты в системах, не слежка за людьми; метрика без владельца и нормы не вводится</t>
        </is>
      </c>
    </row>
    <row r="12" ht="120" customHeight="1">
      <c r="A12" s="5" t="inlineStr">
        <is>
          <t>T08</t>
        </is>
      </c>
      <c r="B12" s="5" t="inlineStr">
        <is>
          <t>Автосборка ОДР из iiko, ЗП и 1С</t>
        </is>
      </c>
      <c r="C12" s="5" t="inlineStr">
        <is>
          <t>Новый</t>
        </is>
      </c>
      <c r="D12" s="5" t="inlineStr">
        <is>
          <t>5. Месяц (ОДР, HR-отчёт, аудит)</t>
        </is>
      </c>
      <c r="E12" s="5" t="inlineStr">
        <is>
          <t>ФД, экономист, ИД, ГД</t>
        </is>
      </c>
      <c r="F12" s="5" t="inlineStr">
        <is>
          <t>ОДР собирается вручную в Excel из 73 листов к 12–14-му числу; ошибки формул (#REF, текстовые ячейки, задвоения), спорные цифры гостей и аренды; защита уходит на сверку вместо решений.</t>
        </is>
      </c>
      <c r="G12" s="5" t="inlineStr">
        <is>
          <t>Мост собирает черновик ОДР по форме «БДР _Свод» на 3-й рабочий день: выручка, гости, чеки, скидки, себестоимость, списания по счетам, инвентаризации — из iiko; зарплата и отпускные — из свода ЗП; аренда, коммуналка, банк, налоги — из выгрузки 1С/ДДС и реестра договоров; ФД добавляет начисления и проверяет; отклонения от плана и нормативов подсвечены; динамика статей за 2023–2025 — автоматически во вкладках объектов (договорённость 30.09).</t>
        </is>
      </c>
      <c r="H12" s="5" t="inlineStr">
        <is>
          <t>Снимок iiko, свод ЗП (Диск), выгрузки 1С (ДДС уже на Диске; остатки и проводки по статьям — запросить), реестр договоров (T11)</t>
        </is>
      </c>
      <c r="I12" s="5" t="inlineStr">
        <is>
          <t>Файл Excel в папке «БДР-ОДР» по форме Павла + загрузчик в витрину дашборда (комнаты 1, 2, 7)</t>
        </is>
      </c>
      <c r="J12" s="5" t="inlineStr">
        <is>
          <t>3–5 рабочих дней ФД и экономиста в месяц; ошибки файла; споры о цифрах на защите</t>
        </is>
      </c>
      <c r="K12" s="5" t="inlineStr">
        <is>
          <t>ФД и экономист 40 ч в месяц</t>
        </is>
      </c>
      <c r="L12" s="5" t="inlineStr">
        <is>
          <t>Да, при доступе</t>
        </is>
      </c>
      <c r="M12" s="5" t="inlineStr">
        <is>
          <t>6–8 (в три шага: iiko-блок, ЗП, 1С)</t>
        </is>
      </c>
      <c r="N12" s="5" t="inlineStr">
        <is>
          <t>Форма ОДР зафиксирована на полгода; выгрузка из 1С по статьям и объектам в постоянном формате; соответствие складов iiko объектам ОДР</t>
        </is>
      </c>
      <c r="O12" s="5" t="inlineStr">
        <is>
          <t>1 (iiko-блок, ноябрь) – 2 (ЗП и 1С, декабрь – январь)</t>
        </is>
      </c>
      <c r="P12" s="5" t="inlineStr">
        <is>
          <t>Начисления и распределения (фабрика-кухня, УК) остаются решением ФД; инструмент даёт черновик и сверку, не бухгалтерию</t>
        </is>
      </c>
    </row>
    <row r="13" ht="120" customHeight="1">
      <c r="A13" s="5" t="inlineStr">
        <is>
          <t>T09</t>
        </is>
      </c>
      <c r="B13" s="5" t="inlineStr">
        <is>
          <t>БДР-ассистент: план по гостям, выручке и расходам</t>
        </is>
      </c>
      <c r="C13" s="5" t="inlineStr">
        <is>
          <t>Новый</t>
        </is>
      </c>
      <c r="D13" s="5" t="inlineStr">
        <is>
          <t>1. Планирование (БДР, графики, закуп)</t>
        </is>
      </c>
      <c r="E13" s="5" t="inlineStr">
        <is>
          <t>ФД, ИД, ОД, управляющие</t>
        </is>
      </c>
      <c r="F13" s="5" t="inlineStr">
        <is>
          <t>БДР октября пересобирали четыре раза; планы по гостям в БДР отсутствуют; план выручки ставится в рублях без связи с действиями (требование собственника 30.09).</t>
        </is>
      </c>
      <c r="G13" s="5" t="inlineStr">
        <is>
          <t>Считает план следующего месяца по методике (тренд трёх месяцев к прошлому году) по объектам, дням недели и мотивам визита (завтрак, обед, ужин, выходные, банкеты); предлагает план гостей и чека; проверяет расходные статьи против нормативов и динамики 2023–2025; собирает сценарии (база, план Б при выручке ниже порога); выдаёт файл в форме БДР и карточку «гости → причины → действия» на каждый объект.</t>
        </is>
      </c>
      <c r="H13" s="5" t="inlineStr">
        <is>
          <t>Снимок iiko (3 года по дням и часам), ОДР прошлых месяцев, нормативы ядра, календарь событий и маркетинга</t>
        </is>
      </c>
      <c r="I13" s="5" t="inlineStr">
        <is>
          <t>Файл в папке «БДР-ОДР»; карточки объектов — в отчёт управляющего; навык в Claude Team «БДР»</t>
        </is>
      </c>
      <c r="J13" s="5" t="inlineStr">
        <is>
          <t>Ручной расчёт плана ФД и управляющими; повторные пересборки</t>
        </is>
      </c>
      <c r="K13" s="5" t="inlineStr">
        <is>
          <t>ФД 16 ч + управляющие 12 × 2 ч = 40 ч в месяц</t>
        </is>
      </c>
      <c r="L13" s="5" t="inlineStr">
        <is>
          <t>Да</t>
        </is>
      </c>
      <c r="M13" s="5" t="inlineStr">
        <is>
          <t>3</t>
        </is>
      </c>
      <c r="N13" s="5" t="inlineStr">
        <is>
          <t>Согласовать методику плана гостей с ФД и ИД; календарь событий ведётся в Bitrix24</t>
        </is>
      </c>
      <c r="O13" s="5" t="inlineStr">
        <is>
          <t>1 (к БДР декабря)</t>
        </is>
      </c>
      <c r="P13" s="5" t="inlineStr">
        <is>
          <t>План — предложение, утверждает защита; инструмент не заменяет ответственность управляющего за план</t>
        </is>
      </c>
    </row>
    <row r="14" ht="120" customHeight="1">
      <c r="A14" s="5" t="inlineStr">
        <is>
          <t>T10</t>
        </is>
      </c>
      <c r="B14" s="5" t="inlineStr">
        <is>
          <t>Платёжный календарь и лимиты статей (ДДС недели)</t>
        </is>
      </c>
      <c r="C14" s="5" t="inlineStr">
        <is>
          <t>Новый</t>
        </is>
      </c>
      <c r="D14" s="5" t="inlineStr">
        <is>
          <t>4. Неделя (ФОТ, P&amp;L недели, обязательства)</t>
        </is>
      </c>
      <c r="E14" s="5" t="inlineStr">
        <is>
          <t>ФД, ИД, ГД</t>
        </is>
      </c>
      <c r="F14" s="5" t="inlineStr">
        <is>
          <t>30.09 — первый кассовый разрыв; еженедельная сводка ДДС решена 30.09, но формата нет; лимиты ИД по статьям (10% и 20%) утверждены 08.10, но не контролируются системой.</t>
        </is>
      </c>
      <c r="G14" s="5" t="inlineStr">
        <is>
          <t>Прогноз денег на 4 недели по дням: остатки (1С), обязательства поставщикам (накладные iiko с отсрочками), зарплата и налоги по датам, аренда и подписки (реестр T11); дни покрытия постоянных расходов; счета выше лимита статьи уходят на подтверждение ИД или ГД кнопкой в Telegram; утро понедельника — сводка ГД.</t>
        </is>
      </c>
      <c r="H14" s="5" t="inlineStr">
        <is>
          <t>Выгрузки 1С (остатки, платежи), приходные накладные iiko (условия оплаты поставщиков из панели снабжения), свод ЗП, реестр договоров</t>
        </is>
      </c>
      <c r="I14" s="5" t="inlineStr">
        <is>
          <t>Telegram (сводка, подтверждения); дашборд, комната 2 «Деньги и платежи»</t>
        </is>
      </c>
      <c r="J14" s="5" t="inlineStr">
        <is>
          <t>Excel-ДДС ФД; устные согласования платежей; кассовые разрывы</t>
        </is>
      </c>
      <c r="K14" s="5" t="inlineStr">
        <is>
          <t>ФД 16 ч в месяц на сводки и согласования</t>
        </is>
      </c>
      <c r="L14" s="5" t="inlineStr">
        <is>
          <t>Да, при доступе</t>
        </is>
      </c>
      <c r="M14" s="5" t="inlineStr">
        <is>
          <t>4</t>
        </is>
      </c>
      <c r="N14" s="5" t="inlineStr">
        <is>
          <t>Регулярная выгрузка из 1С (остатки и платежи) на Диск в фиксированном формате или OData 1С:Фреш; условия оплаты поставщиков — в панели снабжения</t>
        </is>
      </c>
      <c r="O14" s="5" t="inlineStr">
        <is>
          <t>2 (декабрь)</t>
        </is>
      </c>
      <c r="P14" s="5" t="inlineStr">
        <is>
          <t>Не заменяет казначейство и банк-клиент; подтверждения — только кнопка решения, платёж проводит бухгалтерия</t>
        </is>
      </c>
    </row>
    <row r="15" ht="120" customHeight="1">
      <c r="A15" s="5" t="inlineStr">
        <is>
          <t>T11</t>
        </is>
      </c>
      <c r="B15" s="5" t="inlineStr">
        <is>
          <t>Реестр договоров, подписок и лицензий</t>
        </is>
      </c>
      <c r="C15" s="5" t="inlineStr">
        <is>
          <t>Новый</t>
        </is>
      </c>
      <c r="D15" s="5" t="inlineStr">
        <is>
          <t>1. Планирование (БДР, графики, закуп)</t>
        </is>
      </c>
      <c r="E15" s="5" t="inlineStr">
        <is>
          <t>ФД, технический директор, ИД</t>
        </is>
      </c>
      <c r="F15" s="5" t="inlineStr">
        <is>
          <t>ПО 680 тыс. ₽ в месяц (+30% к 2025) без единого реестра; продления подписок и лицензий (iiko, CRM банкетов, телефония, 2ГИС, сервисы рассылок) не видны заранее; у гастромолла ИТ-расходы 1,8 млн ₽ за 2025.</t>
        </is>
      </c>
      <c r="G15" s="5" t="inlineStr">
        <is>
          <t>Таблица на Диске с ботом: договор, предмет, сумма в месяц, объект, владелец, дата продления, способ отмены; напоминания за 30 дней до продления; сверка с платежами ДДС (платёж без договора в реестре — сигнал); ежеквартальный список «не используется / дублирует».</t>
        </is>
      </c>
      <c r="H15" s="5" t="inlineStr">
        <is>
          <t>Договоры и счета (ФД, техдиректор), ДДС</t>
        </is>
      </c>
      <c r="I15" s="5" t="inlineStr">
        <is>
          <t>Google-таблица + Telegram-напоминания; строка в дашборде, комната 2</t>
        </is>
      </c>
      <c r="J15" s="5" t="inlineStr">
        <is>
          <t>Ручной учёт; просроченные автопродления; дубли сервисов</t>
        </is>
      </c>
      <c r="K15" s="5" t="inlineStr">
        <is>
          <t>ФД и техдиректор 6 ч в месяц</t>
        </is>
      </c>
      <c r="L15" s="5" t="inlineStr">
        <is>
          <t>Да</t>
        </is>
      </c>
      <c r="M15" s="5" t="inlineStr">
        <is>
          <t>1</t>
        </is>
      </c>
      <c r="N15" s="5" t="inlineStr">
        <is>
          <t>Первичное заполнение реестра (ФД, техдиректор) — 2–3 часа</t>
        </is>
      </c>
      <c r="O15" s="5" t="inlineStr">
        <is>
          <t>1 (ноябрь)</t>
        </is>
      </c>
      <c r="P15" s="5" t="inlineStr">
        <is>
          <t>—</t>
        </is>
      </c>
    </row>
    <row r="16" ht="120" customHeight="1">
      <c r="A16" s="5" t="inlineStr">
        <is>
          <t>T12</t>
        </is>
      </c>
      <c r="B16" s="5" t="inlineStr">
        <is>
          <t>Меню-инжиниринг и защита A-позиций</t>
        </is>
      </c>
      <c r="C16" s="5" t="inlineStr">
        <is>
          <t>Есть, расширить</t>
        </is>
      </c>
      <c r="D16" s="5" t="inlineStr">
        <is>
          <t>5. Месяц (ОДР, HR-отчёт, аудит)</t>
        </is>
      </c>
      <c r="E16" s="5" t="inlineStr">
        <is>
          <t>Шефы, бар-менеджер, бренд-кондитер, ОД, ИД; продуктовые сессии брендов</t>
        </is>
      </c>
      <c r="F16" s="5" t="inlineStr">
        <is>
          <t>ABC/XYZ-анализ делается в Claude Team вручную по файлам; матрица меню уже считается в ночном снимке iiko (комната 3), но до шефов не доходит; аудит техкарт сделан разово (78 красных, 210 жёлтых карт); по Breadway Исеть за три года сняли 97 позиций категории A.</t>
        </is>
      </c>
      <c r="G16" s="5" t="inlineStr">
        <is>
          <t>Ежемесячно к продуктовой сессии: ABC/XYZ по объекту и категории, «собаки» и «звёзды», маржа и фудкост по блюду, позиции без себестоимости, красные техкарты (расход против нормы), рост закупочной цены более 10% по ингредиентам блюда; правило «A-позиция не снимается без решения» — сигнал при исчезновении A-блюда из продаж; материалы в формате сессии бренда.</t>
        </is>
      </c>
      <c r="H16" s="5" t="inlineStr">
        <is>
          <t>Снимок iiko (меню, техкарты, цены закупа), ОДР</t>
        </is>
      </c>
      <c r="I16" s="5" t="inlineStr">
        <is>
          <t>Дашборд, комната 3; файл к продуктовой сессии; задачи шефам в Bitrix24</t>
        </is>
      </c>
      <c r="J16" s="5" t="inlineStr">
        <is>
          <t>Ручные ABC в Excel и Claude Team (маркетинг, ОД); повторные аудиты техкарт</t>
        </is>
      </c>
      <c r="K16" s="5" t="inlineStr">
        <is>
          <t>маркетинг и ОД 16 ч в месяц</t>
        </is>
      </c>
      <c r="L16" s="5" t="inlineStr">
        <is>
          <t>Да</t>
        </is>
      </c>
      <c r="M16" s="5" t="inlineStr">
        <is>
          <t>2</t>
        </is>
      </c>
      <c r="N16" s="5" t="inlineStr">
        <is>
          <t>Решение проводить продуктовые сессии раз в два месяца (ядро); владелец — шеф объекта</t>
        </is>
      </c>
      <c r="O16" s="5" t="inlineStr">
        <is>
          <t>1 (декабрь, к первым сессиям)</t>
        </is>
      </c>
      <c r="P16" s="5" t="inlineStr">
        <is>
          <t>Решения по меню принимает шеф; инструмент даёт данные</t>
        </is>
      </c>
    </row>
    <row r="17" ht="120" customHeight="1">
      <c r="A17" s="5" t="inlineStr">
        <is>
          <t>T13</t>
        </is>
      </c>
      <c r="B17" s="5" t="inlineStr">
        <is>
          <t>Инвентаризация-помощник</t>
        </is>
      </c>
      <c r="C17" s="5" t="inlineStr">
        <is>
          <t>Новый</t>
        </is>
      </c>
      <c r="D17" s="5" t="inlineStr">
        <is>
          <t>5. Месяц (ОДР, HR-отчёт, аудит)</t>
        </is>
      </c>
      <c r="E17" s="5" t="inlineStr">
        <is>
          <t>Шеф, кладовщик, СБ, ФД</t>
        </is>
      </c>
      <c r="F17" s="5" t="inlineStr">
        <is>
          <t>Инвентаризации сентября: излишки 0,85 млн и недостачи 0,91 млн при чистом −55 тыс.; склад кухни БВ Исеть колеблется на ±0,32 млн; весь склад ТМЦ БВ Исеть списан одним документом на 1,08 млн (№3080).</t>
        </is>
      </c>
      <c r="G17" s="5" t="inlineStr">
        <is>
          <t>После каждой инвентаризации: разбор отклонений по товарам, повторяющиеся позиции, расхождения с техкартами и списаниями, ожидаемая усушка против факта; список для СБ и шефа; график инвентаризаций и напоминания; контроль, что инвентаризация проведена в срок и по всем складам.</t>
        </is>
      </c>
      <c r="H17" s="5" t="inlineStr">
        <is>
          <t>Документы инвентаризаций iiko (store_operations), техкарты, акты списания, продажи</t>
        </is>
      </c>
      <c r="I17" s="5" t="inlineStr">
        <is>
          <t>Telegram (шеф, СБ); дашборд, комната 7; задачи в Bitrix24 по крупным отклонениям</t>
        </is>
      </c>
      <c r="J17" s="5" t="inlineStr">
        <is>
          <t>Ручной разбор СБ и бухгалтерии; повторные пересчёты</t>
        </is>
      </c>
      <c r="K17" s="5" t="inlineStr">
        <is>
          <t>СБ и бухгалтерия 12 ч в месяц</t>
        </is>
      </c>
      <c r="L17" s="5" t="inlineStr">
        <is>
          <t>Да</t>
        </is>
      </c>
      <c r="M17" s="5" t="inlineStr">
        <is>
          <t>2</t>
        </is>
      </c>
      <c r="N17" s="5" t="inlineStr">
        <is>
          <t>График инвентаризаций по складам (ФД, СБ)</t>
        </is>
      </c>
      <c r="O17" s="5" t="inlineStr">
        <is>
          <t>2 (декабрь)</t>
        </is>
      </c>
      <c r="P17" s="5" t="inlineStr">
        <is>
          <t>—</t>
        </is>
      </c>
    </row>
    <row r="18" ht="120" customHeight="1">
      <c r="A18" s="5" t="inlineStr">
        <is>
          <t>T14</t>
        </is>
      </c>
      <c r="B18" s="5" t="inlineStr">
        <is>
          <t>Отзывы и репутация: сбор, темы, ответы</t>
        </is>
      </c>
      <c r="C18" s="5" t="inlineStr">
        <is>
          <t>Новый</t>
        </is>
      </c>
      <c r="D18" s="5" t="inlineStr">
        <is>
          <t>3. День после (карточка объекта, сигналы)</t>
        </is>
      </c>
      <c r="E18" s="5" t="inlineStr">
        <is>
          <t>Управляющие, маркетинг, ИД, ОД</t>
        </is>
      </c>
      <c r="F18" s="5" t="inlineStr">
        <is>
          <t>Отзывы читают все, но не связывают с меню и сервисом (разбор Breadway: 1 241 отзыв сопоставили вручную в Claude); ответы пишут маркетологи и управляющие; NPS считается по-разному; внешние каналы падают без диагностики.</t>
        </is>
      </c>
      <c r="G18" s="5" t="inlineStr">
        <is>
          <t>Ежедневно собирает новые отзывы (Яндекс, 2ГИС, Prime Hill CSI, бот отзывов), определяет тему (еда, сервис, цена, интерьер, скорость) и блюдо, готовит черновик ответа в тоне бренда на подтверждение управляющему; недельная сводка по объекту: рейтинг, доля негатива, время ответа, повторяющиеся причины; связь с картой дня (кто был на смене).</t>
        </is>
      </c>
      <c r="H18" s="5" t="inlineStr">
        <is>
          <t>Кабинеты Яндекс Бизнес и 2ГИС (доступ на чтение; у 2ГИС есть API, у Яндекса — ограниченный), Prime Hill, Telegram-бот отзывов</t>
        </is>
      </c>
      <c r="I18" s="5" t="inlineStr">
        <is>
          <t>Telegram (черновики ответов); дашборд, комната 5; карточка объекта (T01)</t>
        </is>
      </c>
      <c r="J18" s="5" t="inlineStr">
        <is>
          <t>Часы маркетологов и управляющих на ответы и своды; часть функции «тайный гость»; внешние сервисы мониторинга отзывов</t>
        </is>
      </c>
      <c r="K18" s="5" t="inlineStr">
        <is>
          <t>маркетинг 24 ч + управляющие 12 × 3 ч = 60 ч в месяц</t>
        </is>
      </c>
      <c r="L18" s="5" t="inlineStr">
        <is>
          <t>Да, при доступе</t>
        </is>
      </c>
      <c r="M18" s="5" t="inlineStr">
        <is>
          <t>4</t>
        </is>
      </c>
      <c r="N18" s="5" t="inlineStr">
        <is>
          <t>Служебные учётные записи кабинетов Яндекс Бизнес и 2ГИС на просмотр (задача №2434, просрочена с 07.10); тон ответов по брендам (БД)</t>
        </is>
      </c>
      <c r="O18" s="5" t="inlineStr">
        <is>
          <t>2 (декабрь)</t>
        </is>
      </c>
      <c r="P18" s="5" t="inlineStr">
        <is>
          <t>Ответы публикует человек; без доступа к кабинетам — только Prime Hill и бот</t>
        </is>
      </c>
    </row>
    <row r="19" ht="120" customHeight="1">
      <c r="A19" s="5" t="inlineStr">
        <is>
          <t>T15</t>
        </is>
      </c>
      <c r="B19" s="5" t="inlineStr">
        <is>
          <t>Возврат гостей: списки, скрипты, журнал звонков</t>
        </is>
      </c>
      <c r="C19" s="5" t="inlineStr">
        <is>
          <t>Новый</t>
        </is>
      </c>
      <c r="D19" s="5" t="inlineStr">
        <is>
          <t>4. Неделя (ФОТ, P&amp;L недели, обязательства)</t>
        </is>
      </c>
      <c r="E19" s="5" t="inlineStr">
        <is>
          <t>Управляющие, хостес, маркетинг</t>
        </is>
      </c>
      <c r="F19" s="5" t="inlineStr">
        <is>
          <t>Поручение 08.10: не менее 10 живых звонков в неделю гостям из зоны потерь (Нагорный, №3222); списки собирает маркетинг вручную из Prime Hill; результат звонков не фиксируется; окно оттока 90 дней согласовано 30.09.</t>
        </is>
      </c>
      <c r="G19" s="5" t="inlineStr">
        <is>
          <t>Еженедельно по объекту: список гостей зоны риска и потерь (коды карт, без телефонов в отчётах), скрипт звонка, кнопки итога в Telegram (дозвонились, причина, вернётся, нет), автоматическая проверка возврата через 30/60/90 дней по визитам Prime Hill; свод по объектам: звонков, причин ухода, вернувшихся, выручки вернувшихся.</t>
        </is>
      </c>
      <c r="H19" s="5" t="inlineStr">
        <is>
          <t>Prime Hill openAPI (ключи по проектам уже в мосте для части точек), Telegram-бот</t>
        </is>
      </c>
      <c r="I19" s="5" t="inlineStr">
        <is>
          <t>Telegram; дашборд, комната 4 «Гости и лояльность»; карточка объекта</t>
        </is>
      </c>
      <c r="J19" s="5" t="inlineStr">
        <is>
          <t>Ручные RFM-выгрузки маркетинга; CRM-рассылки без замера</t>
        </is>
      </c>
      <c r="K19" s="5" t="inlineStr">
        <is>
          <t>маркетинг 12 ч в месяц на выгрузки</t>
        </is>
      </c>
      <c r="L19" s="5" t="inlineStr">
        <is>
          <t>Да, при доступе</t>
        </is>
      </c>
      <c r="M19" s="5" t="inlineStr">
        <is>
          <t>3</t>
        </is>
      </c>
      <c r="N19" s="5" t="inlineStr">
        <is>
          <t>Ключи Prime Hill по всем проектам (у маркетинга); решение распространить звонки на все объекты (решение собственника, п. 11 сводного протокола)</t>
        </is>
      </c>
      <c r="O19" s="5" t="inlineStr">
        <is>
          <t>1 (ноябрь, Нагорный) – 2 (сеть)</t>
        </is>
      </c>
      <c r="P19" s="5" t="inlineStr">
        <is>
          <t>Персональные данные гостей не выводятся в своды; звонит человек, бот только ведёт журнал</t>
        </is>
      </c>
    </row>
    <row r="20" ht="120" customHeight="1">
      <c r="A20" s="5" t="inlineStr">
        <is>
          <t>T16</t>
        </is>
      </c>
      <c r="B20" s="5" t="inlineStr">
        <is>
          <t>Анализ записей разговоров с гостями</t>
        </is>
      </c>
      <c r="C20" s="5" t="inlineStr">
        <is>
          <t>Новый</t>
        </is>
      </c>
      <c r="D20" s="5" t="inlineStr">
        <is>
          <t>3. День после (карточка объекта, сигналы)</t>
        </is>
      </c>
      <c r="E20" s="5" t="inlineStr">
        <is>
          <t>Управляющие, хостес, HR (обучение), ИД</t>
        </is>
      </c>
      <c r="F20" s="5" t="inlineStr">
        <is>
          <t>Поручение собственника №2840: расшифровка записей гостевых телефонов и отчёт с замечаниями; первая точка — Breadway Нагорный. Сегодня качество телефонного сервиса не измеряется.</t>
        </is>
      </c>
      <c r="G20" s="5" t="inlineStr">
        <is>
          <t>Записи разговоров уходят в расшифровку (40 коп./мин), Claude оценивает по чек-листу (приветствие, бронь зафиксирована, предложение, тон, ответ на возражение) и собирает недельный отчёт по сотруднику и объекту с примерами фраз; типовые ошибки — в обучение (бот Гуди); лучшие разговоры — как эталон.</t>
        </is>
      </c>
      <c r="H20" s="5" t="inlineStr">
        <is>
          <t>Хранилище записей телефонии (доступ через Николая Рябова), Speech2Text, Claude</t>
        </is>
      </c>
      <c r="I20" s="5" t="inlineStr">
        <is>
          <t>Еженедельный отчёт в Telegram управляющему и HR; свод ИД; материалы — в кабинет HR</t>
        </is>
      </c>
      <c r="J20" s="5" t="inlineStr">
        <is>
          <t>Прослушивание вручную; «тайный гость» по телефону; часть тренингов</t>
        </is>
      </c>
      <c r="K20" s="5" t="inlineStr">
        <is>
          <t>управляющие 12 ч + HR 8 ч в месяц</t>
        </is>
      </c>
      <c r="L20" s="5" t="inlineStr">
        <is>
          <t>Да, при доступе</t>
        </is>
      </c>
      <c r="M20" s="5" t="inlineStr">
        <is>
          <t>2–3</t>
        </is>
      </c>
      <c r="N20" s="5" t="inlineStr">
        <is>
          <t>Доступ к записям (поручение №2840); уведомление сотрудников о записи и анализе</t>
        </is>
      </c>
      <c r="O20" s="5" t="inlineStr">
        <is>
          <t>1 (ноябрь, Нагорный)</t>
        </is>
      </c>
      <c r="P20" s="5" t="inlineStr">
        <is>
          <t>Оценивается разговор по чек-листу, а не человек в целом; результаты — для обучения, решения принимает управляющий</t>
        </is>
      </c>
    </row>
    <row r="21" ht="120" customHeight="1">
      <c r="A21" s="5" t="inlineStr">
        <is>
          <t>T17</t>
        </is>
      </c>
      <c r="B21" s="5" t="inlineStr">
        <is>
          <t>Панель метрик маркетинга и ROMI кампаний</t>
        </is>
      </c>
      <c r="C21" s="5" t="inlineStr">
        <is>
          <t>Есть, расширить</t>
        </is>
      </c>
      <c r="D21" s="5" t="inlineStr">
        <is>
          <t>5. Месяц (ОДР, HR-отчёт, аудит)</t>
        </is>
      </c>
      <c r="E21" s="5" t="inlineStr">
        <is>
          <t>БД, маркетинг ресторанов, ГД (встреча четверга)</t>
        </is>
      </c>
      <c r="F21" s="5" t="inlineStr">
        <is>
          <t>Пульт маркетинга и комната 5 есть (37 метрик, часть ждёт доступов); ROMI по кампаниям не считается; отчёт «метрики год к году с активностями» и цель «+100% охвата» поставлены задачами 08.10; БД планировала внешнего аналитика сквозной аналитики.</t>
        </is>
      </c>
      <c r="G21" s="5" t="inlineStr">
        <is>
          <t>К каждой активности из календаря маркетинга — карточка: расходы (из пульта), период, объект; автоматически — гости и выручка по дням кампании против базы (тот же день недели прошлых недель и прошлого года), новые карты Prime Hill, визиты сайта; ROMI и стоимость нового гостя; график месяцев этого и прошлого года с отметками активностей; еженедельная панель к встрече четверга.</t>
        </is>
      </c>
      <c r="H21" s="5" t="inlineStr">
        <is>
          <t>Пульт маркетинга (есть), снимок iiko, Prime Hill, счётчики сайта (есть в коде страниц), рекламные кабинеты (доступ №2434)</t>
        </is>
      </c>
      <c r="I21" s="5" t="inlineStr">
        <is>
          <t>Дашборд, комната 5; еженедельная карточка в Telegram ГД и БД</t>
        </is>
      </c>
      <c r="J21" s="5" t="inlineStr">
        <is>
          <t>Внешний аналитик сквозной аналитики (планировался); ручные отчёты маркетологов</t>
        </is>
      </c>
      <c r="K21" s="5" t="inlineStr">
        <is>
          <t>маркетинг 24 ч в месяц на отчёты</t>
        </is>
      </c>
      <c r="L21" s="5" t="inlineStr">
        <is>
          <t>Да, при доступе</t>
        </is>
      </c>
      <c r="M21" s="5" t="inlineStr">
        <is>
          <t>3</t>
        </is>
      </c>
      <c r="N21" s="5" t="inlineStr">
        <is>
          <t>Доступы к кабинетам на просмотр (№2434); календарь активностей в Bitrix24</t>
        </is>
      </c>
      <c r="O21" s="5" t="inlineStr">
        <is>
          <t>1 (ноябрь)</t>
        </is>
      </c>
      <c r="P21" s="5" t="inlineStr">
        <is>
          <t>Атрибуция эффекта кампаний приблизительная — показывать диапазон</t>
        </is>
      </c>
    </row>
    <row r="22" ht="120" customHeight="1">
      <c r="A22" s="5" t="inlineStr">
        <is>
          <t>T18</t>
        </is>
      </c>
      <c r="B22" s="5" t="inlineStr">
        <is>
          <t>Контент-ассистент брендов</t>
        </is>
      </c>
      <c r="C22" s="5" t="inlineStr">
        <is>
          <t>Новый</t>
        </is>
      </c>
      <c r="D22" s="5" t="inlineStr">
        <is>
          <t>2. Смена (бриф, чек-листы, стоп-листы)</t>
        </is>
      </c>
      <c r="E22" s="5" t="inlineStr">
        <is>
          <t>Маркетологи, управляющие (посты объекта)</t>
        </is>
      </c>
      <c r="F22" s="5" t="inlineStr">
        <is>
          <t>SMM-подрядчик Barbara ушёл, идёт поиск; публикации нерегулярны; охваты упали; тексты меню, рассылок и афиш делаются подрядчиками и дизайнерами (статья «продукт: фото, видео, дизайн, печать» 279 тыс. ₽ в сентябре).</t>
        </is>
      </c>
      <c r="G22" s="5" t="inlineStr">
        <is>
          <t>По бренд-платформе и тону каждого бренда: черновики постов и сторис по событиям из календаря и карточки дня (новое блюдо, винный клуб, бранч), тексты рассылок Prime Hill, описания блюд для меню и сайта, афиши и макеты по шаблону (генерация изображений уже есть в студии); всё — на утверждение маркетологу; журнал публикаций.</t>
        </is>
      </c>
      <c r="H22" s="5" t="inlineStr">
        <is>
          <t>Бренд-платформы (БД), календарь маркетинга, снимок iiko (новые блюда), студия визуализаций (генерация картинок)</t>
        </is>
      </c>
      <c r="I22" s="5" t="inlineStr">
        <is>
          <t>Claude Team (навык по брендам) + кабинет маркетинга в мосте</t>
        </is>
      </c>
      <c r="J22" s="5" t="inlineStr">
        <is>
          <t>Часть работы SMM-подрядчиков и копирайтеров; срочные макеты</t>
        </is>
      </c>
      <c r="K22" s="5" t="inlineStr">
        <is>
          <t>маркетинг 20 ч в месяц</t>
        </is>
      </c>
      <c r="L22" s="5" t="inlineStr">
        <is>
          <t>Да</t>
        </is>
      </c>
      <c r="M22" s="5" t="inlineStr">
        <is>
          <t>2</t>
        </is>
      </c>
      <c r="N22" s="5" t="inlineStr">
        <is>
          <t>Бренд-платформы и примеры удачных текстов (БД); правило «публикует человек»</t>
        </is>
      </c>
      <c r="O22" s="5" t="inlineStr">
        <is>
          <t>2 (декабрь)</t>
        </is>
      </c>
      <c r="P22" s="5" t="inlineStr">
        <is>
          <t>Качество бренда — ответственность БД; инструмент не публикует сам</t>
        </is>
      </c>
    </row>
    <row r="23" ht="120" customHeight="1">
      <c r="A23" s="5" t="inlineStr">
        <is>
          <t>T19</t>
        </is>
      </c>
      <c r="B23" s="5" t="inlineStr">
        <is>
          <t>Банкеты: сайт заявок и воронка для всех ресторанов</t>
        </is>
      </c>
      <c r="C23" s="5" t="inlineStr">
        <is>
          <t>Есть, расширить</t>
        </is>
      </c>
      <c r="D23" s="5" t="inlineStr">
        <is>
          <t>1. Планирование (БДР, графики, закуп)</t>
        </is>
      </c>
      <c r="E23" s="5" t="inlineStr">
        <is>
          <t>Руководитель банкетов, управляющие, маркетинг</t>
        </is>
      </c>
      <c r="F23" s="5" t="inlineStr">
        <is>
          <t>Сайт банкетов BREADWAY с заявками в Telegram и предоплатой строится (№2534); банкетный зал ведёт заявки в CRM (155 тыс. ₽ за полгода за ПО) и платит агентские комиссии (110 тыс. за презентацию); воронка заявок и загрузка зала на 30/60 дней вперёд не видны (направление 8 ядра).</t>
        </is>
      </c>
      <c r="G23" s="5" t="inlineStr">
        <is>
          <t>Единый сайт банкетов всех ресторанов и зала: выбор зала, расстановки, меню, расчёт стоимости, заявка, предоплата; заявки — в Bitrix24 (сделки) с напоминаниями; панель: заявки за неделю, конверсия, подтверждённые банкеты на 30 и 60 дней, средний чек, маржа по факту iiko.</t>
        </is>
      </c>
      <c r="H23" s="5" t="inlineStr">
        <is>
          <t>Кабинет банкетов (есть), Bitrix24 CRM, iiko (факт банкетов), платёжный шлюз</t>
        </is>
      </c>
      <c r="I23" s="5" t="inlineStr">
        <is>
          <t>banket.html (расширение), дашборд, комната 6 «Бронирования и банкеты»</t>
        </is>
      </c>
      <c r="J23" s="5" t="inlineStr">
        <is>
          <t>Ручная обработка заявок; подписка CRM банкетного зала (при переходе на Bitrix24); часть агентских комиссий</t>
        </is>
      </c>
      <c r="K23" s="5" t="inlineStr">
        <is>
          <t>банкетная служба 16 ч в месяц</t>
        </is>
      </c>
      <c r="L23" s="5" t="inlineStr">
        <is>
          <t>Да</t>
        </is>
      </c>
      <c r="M23" s="5" t="inlineStr">
        <is>
          <t>3 на ресторан</t>
        </is>
      </c>
      <c r="N23" s="5" t="inlineStr">
        <is>
          <t>Данные по залам и меню от управляющих (№2534 просрочена с 08.10); решение вести сделки в Bitrix24</t>
        </is>
      </c>
      <c r="O23" s="5" t="inlineStr">
        <is>
          <t>2 (декабрь – январь)</t>
        </is>
      </c>
      <c r="P23" s="5" t="inlineStr">
        <is>
          <t>Переход с CRM — только после параллельного месяца</t>
        </is>
      </c>
    </row>
    <row r="24" ht="120" customHeight="1">
      <c r="A24" s="5" t="inlineStr">
        <is>
          <t>T20</t>
        </is>
      </c>
      <c r="B24" s="5" t="inlineStr">
        <is>
          <t>Гуди: адаптация, обучение и аттестация</t>
        </is>
      </c>
      <c r="C24" s="5" t="inlineStr">
        <is>
          <t>Есть, расширить</t>
        </is>
      </c>
      <c r="D24" s="5" t="inlineStr">
        <is>
          <t>2. Смена (бриф, чек-листы, стоп-листы)</t>
        </is>
      </c>
      <c r="E24" s="5" t="inlineStr">
        <is>
          <t>HR, наставники, управляющие, новички</t>
        </is>
      </c>
      <c r="F24" s="5" t="inlineStr">
        <is>
          <t>Бот адаптации «Гуди» строится (кабинет HR есть, №2696); обучение стандарту сервиса и курсы «Сильный менеджер» идут очно; аттестации по меню и сервису не системны; текучесть 6,8%, укомплектованность 96%.</t>
        </is>
      </c>
      <c r="G24" s="5" t="inlineStr">
        <is>
          <t>К маршруту адаптации — модули обучения по ролям (меню объекта из iiko, стандарты сервиса, санитария), короткие тесты, аттестация перед выходом на смену, повторение после смены меню; результаты — наставнику и управляющему; материалы из разборов звонков (T16) и отзывов (T14).</t>
        </is>
      </c>
      <c r="H24" s="5" t="inlineStr">
        <is>
          <t>Кабинет HR (есть), меню и техкарты iiko, стандарты (HR, шефы)</t>
        </is>
      </c>
      <c r="I24" s="5" t="inlineStr">
        <is>
          <t>Telegram-бот Гуди; кабинет HR; дашборд, комната 9</t>
        </is>
      </c>
      <c r="J24" s="5" t="inlineStr">
        <is>
          <t>Часы наставников и HR на вводные занятия; часть внешних тренингов</t>
        </is>
      </c>
      <c r="K24" s="5" t="inlineStr">
        <is>
          <t>HR 16 ч + наставники 12 × 4 ч = 64 ч в месяц</t>
        </is>
      </c>
      <c r="L24" s="5" t="inlineStr">
        <is>
          <t>Да</t>
        </is>
      </c>
      <c r="M24" s="5" t="inlineStr">
        <is>
          <t>2</t>
        </is>
      </c>
      <c r="N24" s="5" t="inlineStr">
        <is>
          <t>Материалы по ролям в кабинет HR (№2696); решение об обязательной аттестации по меню</t>
        </is>
      </c>
      <c r="O24" s="5" t="inlineStr">
        <is>
          <t>2 (декабрь)</t>
        </is>
      </c>
      <c r="P24" s="5" t="inlineStr">
        <is>
          <t>Бот дополняет наставника; аттестацию утверждает HR и шеф</t>
        </is>
      </c>
    </row>
    <row r="25" ht="120" customHeight="1">
      <c r="A25" s="5" t="inlineStr">
        <is>
          <t>T21</t>
        </is>
      </c>
      <c r="B25" s="5" t="inlineStr">
        <is>
          <t>Воронка найма и учёт вакансий</t>
        </is>
      </c>
      <c r="C25" s="5" t="inlineStr">
        <is>
          <t>Новый</t>
        </is>
      </c>
      <c r="D25" s="5" t="inlineStr">
        <is>
          <t>1. Планирование (БДР, графики, закуп)</t>
        </is>
      </c>
      <c r="E25" s="5" t="inlineStr">
        <is>
          <t>HR, управляющие, шефы</t>
        </is>
      </c>
      <c r="F25" s="5" t="inlineStr">
        <is>
          <t>Срочные вакансии (су-шеф, повар, кондитер, пекарь, курьеры) закрываются вручную; срок закрытия и эффективность источников (hh, «Приведи друга», объявления с патентом и жильём) не считаются; подбор 94 тыс. ₽ в сентябре.</t>
        </is>
      </c>
      <c r="G25" s="5" t="inlineStr">
        <is>
          <t>Заявка на подбор из Bitrix24 с профилем и сроком; отклики с hh по API в единую воронку; первичный отбор по чек-листу профиля (Claude, с согласия кандидата), приглашения и напоминания через Telegram; учёт «Приведи друга»; панель: открытые вакансии, срок закрытия, источники, стоимость найма; норматив срока закрытия по ролям.</t>
        </is>
      </c>
      <c r="H25" s="5" t="inlineStr">
        <is>
          <t>hh.ru API (токен работодателя), Bitrix24, Telegram</t>
        </is>
      </c>
      <c r="I25" s="5" t="inlineStr">
        <is>
          <t>Кабинет HR; дашборд, комната 9; Telegram</t>
        </is>
      </c>
      <c r="J25" s="5" t="inlineStr">
        <is>
          <t>Ручная переписка с кандидатами; часть расходов на подбор</t>
        </is>
      </c>
      <c r="K25" s="5" t="inlineStr">
        <is>
          <t>HR 24 ч в месяц</t>
        </is>
      </c>
      <c r="L25" s="5" t="inlineStr">
        <is>
          <t>Да, при доступе</t>
        </is>
      </c>
      <c r="M25" s="5" t="inlineStr">
        <is>
          <t>3</t>
        </is>
      </c>
      <c r="N25" s="5" t="inlineStr">
        <is>
          <t>Токен работодателя hh.ru; согласие на обработку откликов; профили ролей (HR)</t>
        </is>
      </c>
      <c r="O25" s="5" t="inlineStr">
        <is>
          <t>2–3 (январь)</t>
        </is>
      </c>
      <c r="P25" s="5" t="inlineStr">
        <is>
          <t>Решение о найме принимает человек; отбор только по профилю</t>
        </is>
      </c>
    </row>
    <row r="26" ht="120" customHeight="1">
      <c r="A26" s="5" t="inlineStr">
        <is>
          <t>T22</t>
        </is>
      </c>
      <c r="B26" s="5" t="inlineStr">
        <is>
          <t>HR-отчёт по контуру автоматически</t>
        </is>
      </c>
      <c r="C26" s="5" t="inlineStr">
        <is>
          <t>Новый</t>
        </is>
      </c>
      <c r="D26" s="5" t="inlineStr">
        <is>
          <t>5. Месяц (ОДР, HR-отчёт, аудит)</t>
        </is>
      </c>
      <c r="E26" s="5" t="inlineStr">
        <is>
          <t>HR, ИД, ГД (HR-разбор первого вторника)</t>
        </is>
      </c>
      <c r="F26" s="5" t="inlineStr">
        <is>
          <t>HR-отчёт собирается вручную к собранию; источник данных по персоналу для дашборда неизвестен (№2458); даты приёма и увольнения есть в iiko.</t>
        </is>
      </c>
      <c r="G26" s="5" t="inlineStr">
        <is>
          <t>Ежемесячно к 5-му числу: укомплектованность по объектам и ролям, текучесть за 90 дней и год, срок закрытия вакансий, доля новичков, прошедших контрольные точки, часы и переработки (из T03), результаты аттестаций (T20); сравнение с прошлым месяцем и годом.</t>
        </is>
      </c>
      <c r="H26" s="5" t="inlineStr">
        <is>
          <t>Сотрудники iiko (приём и увольнение, должности, подразделения — без персональных данных), Гуди, воронка найма, явки</t>
        </is>
      </c>
      <c r="I26" s="5" t="inlineStr">
        <is>
          <t>Дашборд, комната 9 «Команда»; файл к HR-разбору</t>
        </is>
      </c>
      <c r="J26" s="5" t="inlineStr">
        <is>
          <t>Ручная сборка HR-отчёта</t>
        </is>
      </c>
      <c r="K26" s="5" t="inlineStr">
        <is>
          <t>HR 12 ч в месяц</t>
        </is>
      </c>
      <c r="L26" s="5" t="inlineStr">
        <is>
          <t>Да</t>
        </is>
      </c>
      <c r="M26" s="5" t="inlineStr">
        <is>
          <t>2</t>
        </is>
      </c>
      <c r="N26" s="5" t="inlineStr">
        <is>
          <t>Подтвердить, что кадровый учёт по датам ведётся в iiko по всем юрлицам</t>
        </is>
      </c>
      <c r="O26" s="5" t="inlineStr">
        <is>
          <t>2 (декабрь)</t>
        </is>
      </c>
      <c r="P26" s="5" t="inlineStr">
        <is>
          <t>—</t>
        </is>
      </c>
    </row>
    <row r="27" ht="120" customHeight="1">
      <c r="A27" s="5" t="inlineStr">
        <is>
          <t>T23</t>
        </is>
      </c>
      <c r="B27" s="5" t="inlineStr">
        <is>
          <t>Заявки техслужбе и журнал инцидентов</t>
        </is>
      </c>
      <c r="C27" s="5" t="inlineStr">
        <is>
          <t>Новый</t>
        </is>
      </c>
      <c r="D27" s="5" t="inlineStr">
        <is>
          <t>2. Смена (бриф, чек-листы, стоп-листы)</t>
        </is>
      </c>
      <c r="E27" s="5" t="inlineStr">
        <is>
          <t>Управляющие, шефы, технический директор, СБ</t>
        </is>
      </c>
      <c r="F27" s="5" t="inlineStr">
        <is>
          <t>Заявки на ремонт идут в чатах и по телефону; норматив реакции (критичные — в день обращения) закреплён в ядре, но не измеряется; расходы на ремонт по объектам видны только в ОДР.</t>
        </is>
      </c>
      <c r="G27" s="5" t="inlineStr">
        <is>
          <t>Заявка из Telegram с фото и приоритетом → задача в Bitrix24 на техслужбу с SLA; статусы и напоминания; график планового ТО; учёт затрат по объекту и оборудованию; инциденты (проверки, аварии, травмы) — тем же каналом с уведомлением ИД и СБ.</t>
        </is>
      </c>
      <c r="H27" s="5" t="inlineStr">
        <is>
          <t>Telegram-бот, Bitrix24, реестр оборудования (техдиректор)</t>
        </is>
      </c>
      <c r="I27" s="5" t="inlineStr">
        <is>
          <t>Bitrix24 (проект техслужбы); дашборд, комната 13 ядра / 8</t>
        </is>
      </c>
      <c r="J27" s="5" t="inlineStr">
        <is>
          <t>Чаты и звонки; потери от простоя оборудования</t>
        </is>
      </c>
      <c r="K27" s="5" t="inlineStr">
        <is>
          <t>техдиректор и управляющие 16 ч в месяц</t>
        </is>
      </c>
      <c r="L27" s="5" t="inlineStr">
        <is>
          <t>Да</t>
        </is>
      </c>
      <c r="M27" s="5" t="inlineStr">
        <is>
          <t>2</t>
        </is>
      </c>
      <c r="N27" s="5" t="inlineStr">
        <is>
          <t>Перечень оборудования и график ТО (техдиректор)</t>
        </is>
      </c>
      <c r="O27" s="5" t="inlineStr">
        <is>
          <t>2 (декабрь)</t>
        </is>
      </c>
      <c r="P27" s="5" t="inlineStr">
        <is>
          <t>—</t>
        </is>
      </c>
    </row>
    <row r="28" ht="120" customHeight="1">
      <c r="A28" s="5" t="inlineStr">
        <is>
          <t>T24</t>
        </is>
      </c>
      <c r="B28" s="5" t="inlineStr">
        <is>
          <t>Стыковые обязательства функций и доля «в срок и принято»</t>
        </is>
      </c>
      <c r="C28" s="5" t="inlineStr">
        <is>
          <t>Новый</t>
        </is>
      </c>
      <c r="D28" s="5" t="inlineStr">
        <is>
          <t>4. Неделя (ФОТ, P&amp;L недели, обязательства)</t>
        </is>
      </c>
      <c r="E28" s="5" t="inlineStr">
        <is>
          <t>ГД, ИД, руководители общих функций (HR, техслужба, СБ, маркетинг, финансы)</t>
        </is>
      </c>
      <c r="F28" s="5" t="inlineStr">
        <is>
          <t>Ядро вводит обязательства функций с пятью реквизитами и приёмкой получателем, долю «в срок и принято» — считать нечем.</t>
        </is>
      </c>
      <c r="G28" s="5" t="inlineStr">
        <is>
          <t>Тип задачи «обязательство» в Bitrix24 с полями: результат, владелец, получатель, срок, критерий приёмки; приёмка получателем кнопкой; хранение первоначального срока; ежемесячный расчёт доли «в срок и принято» по функциям; переносы более одного раза — в свод ГД.</t>
        </is>
      </c>
      <c r="H28" s="5" t="inlineStr">
        <is>
          <t>Bitrix24 REST (пользовательские поля задач, создание — уже умеет мост)</t>
        </is>
      </c>
      <c r="I28" s="5" t="inlineStr">
        <is>
          <t>Bitrix24; дашборд, комната 10</t>
        </is>
      </c>
      <c r="J28" s="5" t="inlineStr">
        <is>
          <t>Ручной контроль исполнения; споры «кто кому что должен»</t>
        </is>
      </c>
      <c r="K28" s="5" t="inlineStr">
        <is>
          <t>ИД 6 ч в месяц</t>
        </is>
      </c>
      <c r="L28" s="5" t="inlineStr">
        <is>
          <t>Да</t>
        </is>
      </c>
      <c r="M28" s="5" t="inlineStr">
        <is>
          <t>2</t>
        </is>
      </c>
      <c r="N28" s="5" t="inlineStr">
        <is>
          <t>Утверждение правила (ядро, раздел 9); поле задачи в Bitrix24</t>
        </is>
      </c>
      <c r="O28" s="5" t="inlineStr">
        <is>
          <t>1 (ноябрь)</t>
        </is>
      </c>
      <c r="P28" s="5" t="inlineStr">
        <is>
          <t>—</t>
        </is>
      </c>
    </row>
    <row r="29" ht="120" customHeight="1">
      <c r="A29" s="5" t="inlineStr">
        <is>
          <t>T25</t>
        </is>
      </c>
      <c r="B29" s="5" t="inlineStr">
        <is>
          <t>Протокол → задачи → повестка → контроль</t>
        </is>
      </c>
      <c r="C29" s="5" t="inlineStr">
        <is>
          <t>Есть</t>
        </is>
      </c>
      <c r="D29" s="5" t="inlineStr">
        <is>
          <t>6. Решение (сценарии, память решений)</t>
        </is>
      </c>
      <c r="E29" s="5" t="inlineStr">
        <is>
          <t>ГД, ИД, участники встреч</t>
        </is>
      </c>
      <c r="F29" s="5" t="inlineStr">
        <is>
          <t>Работает: расшифровка, протокол, пакет задач, повестки с судьбой задач прошлой встречи, дайджесты понедельника и пятницы, разбор чатов Telegram. Автоматический ежедневный цикл протоколов — в доводке.</t>
        </is>
      </c>
      <c r="G29" s="5" t="inlineStr">
        <is>
          <t>Довести: автозапуск по записям дня; связь каждой задачи с вехой; напоминание владельцу вехи о карточке «движемся / стоим» по вторникам; «решения собственника» — отдельный реестр с датой и основанием (память решений).</t>
        </is>
      </c>
      <c r="H29" s="5" t="inlineStr">
        <is>
          <t>Speech2Text, Claude, Bitrix24, Диск</t>
        </is>
      </c>
      <c r="I29" s="5" t="inlineStr">
        <is>
          <t>Сервер Вертера, Claude Team (protokol-gc, povestka-gc, execution-review-gc)</t>
        </is>
      </c>
      <c r="J29" s="5" t="inlineStr">
        <is>
          <t>Секретарская работа; потеря договорённостей</t>
        </is>
      </c>
      <c r="K29" s="5" t="inlineStr">
        <is>
          <t>ГД и ИД 20 ч в месяц (уже экономится)</t>
        </is>
      </c>
      <c r="L29" s="5" t="inlineStr">
        <is>
          <t>Да</t>
        </is>
      </c>
      <c r="M29" s="5" t="inlineStr">
        <is>
          <t>1 (доводка)</t>
        </is>
      </c>
      <c r="N29" s="5" t="inlineStr">
        <is>
          <t>—</t>
        </is>
      </c>
      <c r="O29" s="5" t="inlineStr">
        <is>
          <t>1 (ноябрь)</t>
        </is>
      </c>
      <c r="P29" s="5" t="inlineStr">
        <is>
          <t>—</t>
        </is>
      </c>
    </row>
    <row r="30" ht="120" customHeight="1">
      <c r="A30" s="5" t="inlineStr">
        <is>
          <t>T26</t>
        </is>
      </c>
      <c r="B30" s="5" t="inlineStr">
        <is>
          <t>P&amp;L недели объекта</t>
        </is>
      </c>
      <c r="C30" s="5" t="inlineStr">
        <is>
          <t>Новый</t>
        </is>
      </c>
      <c r="D30" s="5" t="inlineStr">
        <is>
          <t>4. Неделя (ФОТ, P&amp;L недели, обязательства)</t>
        </is>
      </c>
      <c r="E30" s="5" t="inlineStr">
        <is>
          <t>ОД (1:1 с объектом раз в две недели), управляющий и шеф</t>
        </is>
      </c>
      <c r="F30" s="5" t="inlineStr">
        <is>
          <t>Ядро предусматривает разбор «P&amp;L недели» на 1:1 с объектом, но P&amp;L есть только раз в месяц в ОДР.</t>
        </is>
      </c>
      <c r="G30" s="5" t="inlineStr">
        <is>
          <t>По понедельникам черновой P&amp;L недели по объекту: выручка и гости, себестоимость по продажам, списания по счетам, ФОТ недели (T03), аренда и постоянные расходы по нормативу месяца, прибыль до аренды; сравнение с планом недели и прошлым годом; один лист на объект.</t>
        </is>
      </c>
      <c r="H30" s="5" t="inlineStr">
        <is>
          <t>Снимок iiko, T03, нормативы постоянных расходов из БДР</t>
        </is>
      </c>
      <c r="I30" s="5" t="inlineStr">
        <is>
          <t>Отчёт управляющего (вкладка «Неделя»); карточка 1:1 для ОД</t>
        </is>
      </c>
      <c r="J30" s="5" t="inlineStr">
        <is>
          <t>Ожидание ОДР; ручные прикидки ОД</t>
        </is>
      </c>
      <c r="K30" s="5" t="inlineStr">
        <is>
          <t>ОД 8 ч в месяц</t>
        </is>
      </c>
      <c r="L30" s="5" t="inlineStr">
        <is>
          <t>Да</t>
        </is>
      </c>
      <c r="M30" s="5" t="inlineStr">
        <is>
          <t>2 (после T03)</t>
        </is>
      </c>
      <c r="N30" s="5" t="inlineStr">
        <is>
          <t>Нормативы постоянных расходов по объектам из БДР (ФД)</t>
        </is>
      </c>
      <c r="O30" s="5" t="inlineStr">
        <is>
          <t>1 (ноябрь; перенесён из волны 2 — «Недельный БДР» уже ведётся руками 32 ч/мес)</t>
        </is>
      </c>
      <c r="P30" s="5" t="inlineStr">
        <is>
          <t>Недельный P&amp;L приблизителен по начислениям — так и помечается</t>
        </is>
      </c>
    </row>
    <row r="31" ht="120" customHeight="1">
      <c r="A31" s="5" t="inlineStr">
        <is>
          <t>T27</t>
        </is>
      </c>
      <c r="B31" s="5" t="inlineStr">
        <is>
          <t>Доставка: тайминги и экономика заказа</t>
        </is>
      </c>
      <c r="C31" s="5" t="inlineStr">
        <is>
          <t>Есть, расширить</t>
        </is>
      </c>
      <c r="D31" s="5" t="inlineStr">
        <is>
          <t>3. День после (карточка объекта, сигналы)</t>
        </is>
      </c>
      <c r="E31" s="5" t="inlineStr">
        <is>
          <t>Руководитель доставки, ИД, ГД</t>
        </is>
      </c>
      <c r="F31" s="5" t="inlineStr">
        <is>
          <t>54% заказов без отслеживания таймингов; отчёт по таймингам поручен к ноябрю (№3226); дашборд доставки — за собственником (№2522); данные таймингов — в iiko Driver и у агрегаторов.</t>
        </is>
      </c>
      <c r="G31" s="5" t="inlineStr">
        <is>
          <t>Ежедневно: заказы и выручка к плану и прошлому году, тайминги по этапам (приём → готовность → передача → доставка) из iiko (события заказа), доля опозданий, отмены, повторные заказы, маржа после комиссии агрегатора; сигнал при превышении норматива; еженедельная карточка.</t>
        </is>
      </c>
      <c r="H31" s="5" t="inlineStr">
        <is>
          <t>Снимок iiko (заказы доставки с типами и временем), агрегаторы (выгрузки), Prime Hill (повторные заказы)</t>
        </is>
      </c>
      <c r="I31" s="5" t="inlineStr">
        <is>
          <t>Дашборд, комната 6/7; Telegram руководителю доставки</t>
        </is>
      </c>
      <c r="J31" s="5" t="inlineStr">
        <is>
          <t>Ручной отчёт по таймингам; потери заказов из-за опозданий</t>
        </is>
      </c>
      <c r="K31" s="5" t="inlineStr">
        <is>
          <t>руководитель доставки 12 ч в месяц</t>
        </is>
      </c>
      <c r="L31" s="5" t="inlineStr">
        <is>
          <t>Да, при доступе</t>
        </is>
      </c>
      <c r="M31" s="5" t="inlineStr">
        <is>
          <t>3</t>
        </is>
      </c>
      <c r="N31" s="5" t="inlineStr">
        <is>
          <t>Проверить, пишутся ли события статусов заказа в iiko (кнопочная система готовности — №3024)</t>
        </is>
      </c>
      <c r="O31" s="5" t="inlineStr">
        <is>
          <t>1 (ноябрь, к отчёту)</t>
        </is>
      </c>
      <c r="P31" s="5" t="inlineStr">
        <is>
          <t>—</t>
        </is>
      </c>
    </row>
    <row r="32" ht="120" customHeight="1">
      <c r="A32" s="5" t="inlineStr">
        <is>
          <t>T28</t>
        </is>
      </c>
      <c r="B32" s="5" t="inlineStr">
        <is>
          <t>Снабжение: панель автозаказа</t>
        </is>
      </c>
      <c r="C32" s="5" t="inlineStr">
        <is>
          <t>Есть</t>
        </is>
      </c>
      <c r="D32" s="5" t="inlineStr">
        <is>
          <t>1. Планирование (БДР, графики, закуп)</t>
        </is>
      </c>
      <c r="E32" s="5" t="inlineStr">
        <is>
          <t>Руководитель снабжения, бар-менеджеры, ФД, ИД</t>
        </is>
      </c>
      <c r="F32" s="5" t="inlineStr">
        <is>
          <t>Работает с 13.10: автозаказ по расходу и остаткам, лимиты, согласованные цены, сигналы приёмки, пожелания с ночной обработкой.</t>
        </is>
      </c>
      <c r="G32" s="5" t="inlineStr">
        <is>
          <t>Довести: лимиты от ФД и ИД внесены; норматив остатка в деньгах; ежемесячный свод цен (price_report) с позициями роста более 10%; сравнение цен поставщиков по одинаковым позициям.</t>
        </is>
      </c>
      <c r="H32" s="5" t="inlineStr">
        <is>
          <t>Снимок iiko (остатки, расход, приходы), кабинет снабжения</t>
        </is>
      </c>
      <c r="I32" s="5" t="inlineStr">
        <is>
          <t>zakaz.html, Telegram сигналы 09:05</t>
        </is>
      </c>
      <c r="J32" s="5" t="inlineStr">
        <is>
          <t>Ручной пересчёт складов и заявок; переплаты поставщикам</t>
        </is>
      </c>
      <c r="K32" s="5" t="inlineStr">
        <is>
          <t>снабжение 40 ч в месяц (уже экономится)</t>
        </is>
      </c>
      <c r="L32" s="5" t="inlineStr">
        <is>
          <t>Да</t>
        </is>
      </c>
      <c r="M32" s="5" t="inlineStr">
        <is>
          <t>1 (доводка)</t>
        </is>
      </c>
      <c r="N32" s="5" t="inlineStr">
        <is>
          <t>Лимиты (ФД, ИД); норматив остатка (№2512)</t>
        </is>
      </c>
      <c r="O32" s="5" t="inlineStr">
        <is>
          <t>1 (ноябрь)</t>
        </is>
      </c>
      <c r="P32" s="5" t="inlineStr">
        <is>
          <t>—</t>
        </is>
      </c>
    </row>
    <row r="33" ht="120" customHeight="1">
      <c r="A33" s="5" t="inlineStr">
        <is>
          <t>T29</t>
        </is>
      </c>
      <c r="B33" s="5" t="inlineStr">
        <is>
          <t>Экран генерального директора: единая панель компании</t>
        </is>
      </c>
      <c r="C33" s="5" t="inlineStr">
        <is>
          <t>Есть, расширить</t>
        </is>
      </c>
      <c r="D33" s="5" t="inlineStr">
        <is>
          <t>6. Решение (сценарии, память решений)</t>
        </is>
      </c>
      <c r="E33" s="5" t="inlineStr">
        <is>
          <t>ГД (ежедневно 15 минут)</t>
        </is>
      </c>
      <c r="F33" s="5" t="inlineStr">
        <is>
          <t>Дашборд из 11 комнат работает; верхняя панель из 5 метрик (№788) не утверждена; «единый экран компании» объявлен следующим шагом (выступление 23.09).</t>
        </is>
      </c>
      <c r="G33" s="5" t="inlineStr">
        <is>
          <t>Один экран: 5–7 метрик контура со светофором, денежное покрытие, инциденты за сутки, красные объекты и направления, просрочки старше 7 дней по ответственным, вехи «движемся / стоим», вопросы на решение собственника; гастромолл — отдельный блок по тому же шаблону.</t>
        </is>
      </c>
      <c r="H33" s="5" t="inlineStr">
        <is>
          <t>Все источники дашборда, T06, T07, T10</t>
        </is>
      </c>
      <c r="I33" s="5" t="inlineStr">
        <is>
          <t>dashboard.html — экран «ГД»</t>
        </is>
      </c>
      <c r="J33" s="5" t="inlineStr">
        <is>
          <t>Чтение пяти источников вручную; время собственника</t>
        </is>
      </c>
      <c r="K33" s="5" t="inlineStr">
        <is>
          <t>ГД 20 ч в месяц</t>
        </is>
      </c>
      <c r="L33" s="5" t="inlineStr">
        <is>
          <t>Да</t>
        </is>
      </c>
      <c r="M33" s="5" t="inlineStr">
        <is>
          <t>3</t>
        </is>
      </c>
      <c r="N33" s="5" t="inlineStr">
        <is>
          <t>Утверждение верхней панели метрик (№788, веха В6.2)</t>
        </is>
      </c>
      <c r="O33" s="5" t="inlineStr">
        <is>
          <t>1–2 (ноябрь – декабрь)</t>
        </is>
      </c>
      <c r="P33" s="5" t="inlineStr">
        <is>
          <t>—</t>
        </is>
      </c>
    </row>
    <row r="34" ht="120" customHeight="1">
      <c r="A34" s="5" t="inlineStr">
        <is>
          <t>T30</t>
        </is>
      </c>
      <c r="B34" s="5" t="inlineStr">
        <is>
          <t>Память решений и сценарии (навыки Claude Team)</t>
        </is>
      </c>
      <c r="C34" s="5" t="inlineStr">
        <is>
          <t>Есть</t>
        </is>
      </c>
      <c r="D34" s="5" t="inlineStr">
        <is>
          <t>6. Решение (сценарии, память решений)</t>
        </is>
      </c>
      <c r="E34" s="5" t="inlineStr">
        <is>
          <t>ГД, ИД, БД, ФД</t>
        </is>
      </c>
      <c r="F34" s="5" t="inlineStr">
        <is>
          <t>Навыки ceo-decisions-gc, context-continuity-gc, protokol-gc, povestka-gc, execution-review-gc работают; база знаний и журнал решений ведутся.</t>
        </is>
      </c>
      <c r="G34" s="5" t="inlineStr">
        <is>
          <t>Добавить навык «Экономика объекта» (быстрый расчёт сценариев по данным iiko и ОДР: закрыть / перезапустить / изменить ФОТ) и навык «Инструмент управляемости» (паспорт инструмента, владелец, метрика эффекта), чтобы каждое новое предложение проходило один формат.</t>
        </is>
      </c>
      <c r="H34" s="5" t="inlineStr">
        <is>
          <t>База знаний, Диск, мост</t>
        </is>
      </c>
      <c r="I34" s="5" t="inlineStr">
        <is>
          <t>Claude Team</t>
        </is>
      </c>
      <c r="J34" s="5" t="inlineStr">
        <is>
          <t>Подготовка справок ассистентами и аналитиками</t>
        </is>
      </c>
      <c r="K34" s="5" t="inlineStr">
        <is>
          <t>—</t>
        </is>
      </c>
      <c r="L34" s="5" t="inlineStr">
        <is>
          <t>Да</t>
        </is>
      </c>
      <c r="M34" s="5" t="inlineStr">
        <is>
          <t>1</t>
        </is>
      </c>
      <c r="N34" s="5" t="inlineStr">
        <is>
          <t>—</t>
        </is>
      </c>
      <c r="O34" s="5" t="inlineStr">
        <is>
          <t>2 (декабрь)</t>
        </is>
      </c>
      <c r="P34" s="5" t="inlineStr">
        <is>
          <t>—</t>
        </is>
      </c>
    </row>
    <row r="35" ht="120" customHeight="1">
      <c r="A35" s="5" t="inlineStr">
        <is>
          <t>T31</t>
        </is>
      </c>
      <c r="B35" s="5" t="inlineStr">
        <is>
          <t>Гастромолл: долги резидентов и P&amp;L управляющей компании</t>
        </is>
      </c>
      <c r="C35" s="5" t="inlineStr">
        <is>
          <t>Новый</t>
        </is>
      </c>
      <c r="D35" s="5" t="inlineStr">
        <is>
          <t>5. Месяц (ОДР, HR-отчёт, аудит)</t>
        </is>
      </c>
      <c r="E35" s="5" t="inlineStr">
        <is>
          <t>ИД гастромолла, ФД, ГД</t>
        </is>
      </c>
      <c r="F35" s="5" t="inlineStr">
        <is>
          <t>Дебиторка 22,6 млн ₽ на 16.09, разрыв ДЗ−КЗ вырос в 7 раз за год; P&amp;L УК актуален до апреля; первый P&amp;L УК — к 20.11 (№2752); планёрки по долгам резидентов проходят вручную.</t>
        </is>
      </c>
      <c r="G35" s="5" t="inlineStr">
        <is>
          <t>Еженедельно: долг по каждому резиденту и сроку, динамика, обещания и платежи (из 1С), напоминания и письма; ежемесячно — P&amp;L УК по той же схеме, что ОДР (T08), с планом по аренде и маркетинговому сбору.</t>
        </is>
      </c>
      <c r="H35" s="5" t="inlineStr">
        <is>
          <t>1С (выгрузки по счёту 62), таблица план-факт «Главного» (уже читается мостом), Focus.BI (выгрузки)</t>
        </is>
      </c>
      <c r="I35" s="5" t="inlineStr">
        <is>
          <t>Дашборд, блок «Главный»; Telegram ИД гастромолла</t>
        </is>
      </c>
      <c r="J35" s="5" t="inlineStr">
        <is>
          <t>Ручные планёрки по долгам; Excel P&amp;L</t>
        </is>
      </c>
      <c r="K35" s="5" t="inlineStr">
        <is>
          <t>ИД гастромолла и ФД 16 ч в месяц</t>
        </is>
      </c>
      <c r="L35" s="5" t="inlineStr">
        <is>
          <t>Да, при доступе</t>
        </is>
      </c>
      <c r="M35" s="5" t="inlineStr">
        <is>
          <t>3</t>
        </is>
      </c>
      <c r="N35" s="5" t="inlineStr">
        <is>
          <t>Выгрузка 1С по счёту 62 раз в неделю; решение о едином формате P&amp;L УК</t>
        </is>
      </c>
      <c r="O35" s="5" t="inlineStr">
        <is>
          <t>2 (декабрь)</t>
        </is>
      </c>
      <c r="P35" s="5" t="inlineStr">
        <is>
          <t>Ядро гастромолла проектируется отдельно — инструмент по тому же шаблону</t>
        </is>
      </c>
    </row>
    <row r="36" ht="120" customHeight="1">
      <c r="A36" s="5" t="inlineStr">
        <is>
          <t>T32</t>
        </is>
      </c>
      <c r="B36" s="5" t="inlineStr">
        <is>
          <t>Единый табель объектов и автосвод ЗП</t>
        </is>
      </c>
      <c r="C36" s="5" t="inlineStr">
        <is>
          <t>Новый</t>
        </is>
      </c>
      <c r="D36" s="5" t="inlineStr">
        <is>
          <t>4. Неделя (ФОТ, P&amp;L недели, обязательства)</t>
        </is>
      </c>
      <c r="E36" s="5" t="inlineStr">
        <is>
          <t>Управляющие и менеджеры (ввод часов), HR, ФД, бухгалтер</t>
        </is>
      </c>
      <c r="F36" s="5" t="inlineStr">
        <is>
          <t>Табель ведётся в девяти файлах «Онлайн-ФОТ» разного устройства, свод ЗП сети собирается из них копированием, ШР и недельные графики дублируют те же часы; ФИО и телефоны лежат на общем диске; часы не связаны с явками iiko и планом смен (ревизия диска 16.10).</t>
        </is>
      </c>
      <c r="G36" s="5" t="inlineStr">
        <is>
          <t>Один шаблон табеля на все объекты (роли, ставки, часы по дням, KPI, вычеты) с проверками ввода; ночью сервер Вертера читает табели и собирает свод ЗП и ФОТ по объектам и ролям без копирования; сверка с явками iiko там, где они ведутся, и со ШР; к закрытию месяца — готовый свод для ФД и блок в ОДР; персональные данные остаются в закрытой папке, наружу выходят часы и доли по ролям.</t>
        </is>
      </c>
      <c r="H36" s="5" t="inlineStr">
        <is>
          <t>Табели на Диске Bitrix24 (единый шаблон), ШР, явки iiko (где ведутся), снимок iiko (выручка)</t>
        </is>
      </c>
      <c r="I36" s="5" t="inlineStr">
        <is>
          <t>Диск Bitrix24 (закрытая папка «ФОТ»), отчёт управляющего (вкладка «ФОТ»), Telegram ОД и ФД по понедельникам</t>
        </is>
      </c>
      <c r="J36" s="5" t="inlineStr">
        <is>
          <t>Девять табелей разного формата, ручная сборка свода ЗП, двойной ввод часов в ШР и график сервиса</t>
        </is>
      </c>
      <c r="K36" s="5" t="inlineStr">
        <is>
          <t>бухгалтер и ФД 24 ч на сборку свода; управляющие 9 × 4 ч на расчёты по формулам = 36 ч</t>
        </is>
      </c>
      <c r="L36" s="5" t="inlineStr">
        <is>
          <t>Да</t>
        </is>
      </c>
      <c r="M36" s="5" t="inlineStr">
        <is>
          <t>3</t>
        </is>
      </c>
      <c r="N36" s="5" t="inlineStr">
        <is>
          <t>Утвердить единый шаблон табеля (ФД, HR, ОД); перенести табели в папку с ограниченным доступом; решить, ведутся ли явки в iiko на всех объектах</t>
        </is>
      </c>
      <c r="O36" s="5" t="inlineStr">
        <is>
          <t>1 (ноябрь, первым)</t>
        </is>
      </c>
      <c r="P36" s="5" t="inlineStr">
        <is>
          <t>Табель остаётся документом управляющего; инструмент не меняет часы, а собирает и проверяет; суммы по людям не выводятся</t>
        </is>
      </c>
    </row>
    <row r="37" ht="120" customHeight="1">
      <c r="A37" s="5" t="inlineStr">
        <is>
          <t>T33</t>
        </is>
      </c>
      <c r="B37" s="5" t="inlineStr">
        <is>
          <t>Итоги месяца объекта: автосборка</t>
        </is>
      </c>
      <c r="C37" s="5" t="inlineStr">
        <is>
          <t>Новый</t>
        </is>
      </c>
      <c r="D37" s="5" t="inlineStr">
        <is>
          <t>5. Месяц (ОДР, HR-отчёт, аудит)</t>
        </is>
      </c>
      <c r="E37" s="5" t="inlineStr">
        <is>
          <t>Управляющий, шеф, бар-менеджер; ОД, ИД, ГД</t>
        </is>
      </c>
      <c r="F37" s="5" t="inlineStr">
        <is>
          <t>К отчётному собранию сдаётся 15 презентаций разных форматов (150 МБ за сентябрь); единое лекало «Ежемесячный бланк руководителей» есть только у Нагорного, его цифровые блоки и лист CEO-дашборда заполняются руками; сравнить объекты между собой нельзя.</t>
        </is>
      </c>
      <c r="G37" s="5" t="inlineStr">
        <is>
          <t>Один документ итогов месяца на объект: цифровые блоки (выручка, гости, чек, кост, ФОТ, ревизии, NPS, укомплектованность, текучесть) заполняются из снимка iiko, единого табеля, защитных файлов ревизий и Prime Hill; руководители дописывают достижения, проблемы, уникальный гостевой опыт и план на месяц в форме; свод по сети для ГД собирается автоматически к ОДР.</t>
        </is>
      </c>
      <c r="H37" s="5" t="inlineStr">
        <is>
          <t>Снимок iiko, единый табель (T32), РОСВ (T13), Prime Hill, Bitrix24 (задачи месяца)</t>
        </is>
      </c>
      <c r="I37" s="5" t="inlineStr">
        <is>
          <t>Форма в отчёте управляющего; документ Word/PDF на Диске; экран ГД (T29)</t>
        </is>
      </c>
      <c r="J37" s="5" t="inlineStr">
        <is>
          <t>Подготовка презентаций управляющими и шефами; ручной перенос цифр в бланк</t>
        </is>
      </c>
      <c r="K37" s="5" t="inlineStr">
        <is>
          <t>управляющие и шефы 12 объектов × 2 ч = 24 ч сверх часов, учтённых в T01; маркетинг и HR 8 ч</t>
        </is>
      </c>
      <c r="L37" s="5" t="inlineStr">
        <is>
          <t>Да</t>
        </is>
      </c>
      <c r="M37" s="5" t="inlineStr">
        <is>
          <t>3</t>
        </is>
      </c>
      <c r="N37" s="5" t="inlineStr">
        <is>
          <t>Утвердить структуру бланка как стандарт сети (ОД, ИД); решить, что остаётся текстом руководителя</t>
        </is>
      </c>
      <c r="O37" s="5" t="inlineStr">
        <is>
          <t>2 (декабрь)</t>
        </is>
      </c>
      <c r="P37" s="5" t="inlineStr">
        <is>
          <t>Инструмент не заменяет разговор на собрании; риск формального заполнения — ОД читает текстовые блоки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70" customWidth="1" min="3" max="3"/>
    <col width="50" customWidth="1" min="4" max="4"/>
  </cols>
  <sheetData>
    <row r="1">
      <c r="A1" s="1" t="inlineStr">
        <is>
          <t>Нормы времени, на которых построена оценка часов</t>
        </is>
      </c>
    </row>
    <row r="2">
      <c r="A2" s="2" t="inlineStr">
        <is>
          <t>Допущения сборщика; заменяются фактом замера на шаге 2.</t>
        </is>
      </c>
    </row>
    <row r="4" ht="40" customHeight="1">
      <c r="A4" s="3" t="inlineStr">
        <is>
          <t>Код</t>
        </is>
      </c>
      <c r="B4" s="3" t="inlineStr">
        <is>
          <t>Название нормы</t>
        </is>
      </c>
      <c r="C4" s="3" t="inlineStr">
        <is>
          <t>Норма времени (допущение)</t>
        </is>
      </c>
      <c r="D4" s="3" t="inlineStr">
        <is>
          <t>На чём основана</t>
        </is>
      </c>
    </row>
    <row r="5" ht="48" customHeight="1">
      <c r="A5" s="5" t="inlineStr">
        <is>
          <t>N1</t>
        </is>
      </c>
      <c r="B5" s="5" t="inlineStr">
        <is>
          <t>Табель: ввод часов</t>
        </is>
      </c>
      <c r="C5" s="5" t="inlineStr">
        <is>
          <t>5 мин на открытие файла + 0,3 мин на сотрудника в день (на смене не все); закрытие месяца 3 ч + 3 мин на сотрудника (проценты, KPI, авансы, вычеты)</t>
        </is>
      </c>
      <c r="D5" s="5" t="inlineStr">
        <is>
          <t>По структуре табелей BWI, Нагорного, Доставки; время заполнения видно по отметкам обновления файлов 20:21–23:20</t>
        </is>
      </c>
    </row>
    <row r="6" ht="48" customHeight="1">
      <c r="A6" s="5" t="inlineStr">
        <is>
          <t>N2</t>
        </is>
      </c>
      <c r="B6" s="5" t="inlineStr">
        <is>
          <t>Штатное расписание</t>
        </is>
      </c>
      <c r="C6" s="5" t="inlineStr">
        <is>
          <t>6 ч в месяц на объект: сетка смен по должностям и расчёт ФОТ при плане</t>
        </is>
      </c>
      <c r="D6" s="5" t="inlineStr">
        <is>
          <t>Файлы ШР по объектам, 30–60 строк</t>
        </is>
      </c>
    </row>
    <row r="7" ht="48" customHeight="1">
      <c r="A7" s="5" t="inlineStr">
        <is>
          <t>N3</t>
        </is>
      </c>
      <c r="B7" s="5" t="inlineStr">
        <is>
          <t>Недельный график смен</t>
        </is>
      </c>
      <c r="C7" s="5" t="inlineStr">
        <is>
          <t>1,5 ч в неделю там, где ведётся отдельный файл</t>
        </is>
      </c>
      <c r="D7" s="5" t="inlineStr">
        <is>
          <t>«График сервис» BWI, «Расписание» Анкор, мастер-график Чащи</t>
        </is>
      </c>
    </row>
    <row r="8" ht="48" customHeight="1">
      <c r="A8" s="5" t="inlineStr">
        <is>
          <t>N4</t>
        </is>
      </c>
      <c r="B8" s="5" t="inlineStr">
        <is>
          <t>План-факт по дням</t>
        </is>
      </c>
      <c r="C8" s="5" t="inlineStr">
        <is>
          <t>Центральный ввод: 5 мин в день на строку объекта; собственная копия на объекте: +10 мин в день</t>
        </is>
      </c>
      <c r="D8" s="5" t="inlineStr">
        <is>
          <t>«ПЛАН ФАКТ GC» (15 строк), «План Трибу», «ПЛАН ФАКТ DEL»</t>
        </is>
      </c>
    </row>
    <row r="9" ht="48" customHeight="1">
      <c r="A9" s="5" t="inlineStr">
        <is>
          <t>N5</t>
        </is>
      </c>
      <c r="B9" s="5" t="inlineStr">
        <is>
          <t>Недельный БДР</t>
        </is>
      </c>
      <c r="C9" s="5" t="inlineStr">
        <is>
          <t>Центральные 32 ч в месяц делятся по 56 строкам ФОТ плюс 1 ч на объект за себестоимость и списания; корнеры — отдельный файл 1,5 ч в неделю</t>
        </is>
      </c>
      <c r="D9" s="5" t="inlineStr">
        <is>
          <t>Листы «ФОТ» и «Себес и списания» недельного БДР; «БДР Корнеры»</t>
        </is>
      </c>
    </row>
    <row r="10" ht="48" customHeight="1">
      <c r="A10" s="5" t="inlineStr">
        <is>
          <t>N6</t>
        </is>
      </c>
      <c r="B10" s="5" t="inlineStr">
        <is>
          <t>«Главные отчёты» объекта</t>
        </is>
      </c>
      <c r="C10" s="5" t="inlineStr">
        <is>
          <t>3 ч в месяц на файл; отчёт товарооборота Barbara — 6 ч (лист «Ввод данных»)</t>
        </is>
      </c>
      <c r="D10" s="5" t="inlineStr">
        <is>
          <t>Файлы «Главные отчёты», the_BARBARA_товарооборот</t>
        </is>
      </c>
    </row>
    <row r="11" ht="48" customHeight="1">
      <c r="A11" s="5" t="inlineStr">
        <is>
          <t>N7</t>
        </is>
      </c>
      <c r="B11" s="5" t="inlineStr">
        <is>
          <t>Итоги месяца</t>
        </is>
      </c>
      <c r="C11" s="5" t="inlineStr">
        <is>
          <t>Презентация: 4 ч управляющий + 2 ч шеф и бар-менеджер; бланк руководителей Нагорного — 3 ч</t>
        </is>
      </c>
      <c r="D11" s="5" t="inlineStr">
        <is>
          <t>Папка «Ежемесячные планерки», бланк руководителей</t>
        </is>
      </c>
    </row>
    <row r="12" ht="48" customHeight="1">
      <c r="A12" s="5" t="inlineStr">
        <is>
          <t>N8</t>
        </is>
      </c>
      <c r="B12" s="5" t="inlineStr">
        <is>
          <t>Ежедневные журналы в Excel</t>
        </is>
      </c>
      <c r="C12" s="5" t="inlineStr">
        <is>
          <t>5 мин в день на журнал здоровья и гнойничковый, 10 мин в день на журнал хозтоваров</t>
        </is>
      </c>
      <c r="D12" s="5" t="inlineStr">
        <is>
          <t>Файлы BWI/Менеджеры 0,5–1 МБ</t>
        </is>
      </c>
    </row>
    <row r="13" ht="48" customHeight="1">
      <c r="A13" s="5" t="inlineStr">
        <is>
          <t>N9</t>
        </is>
      </c>
      <c r="B13" s="5" t="inlineStr">
        <is>
          <t>Чек-листы на бумаге и отчёты в чаты</t>
        </is>
      </c>
      <c r="C13" s="5" t="inlineStr">
        <is>
          <t>Анкор: 45 мин в смену (около 30 пунктов по часам и отчёты в 8 чатов); корнеры: 20 мин на точку; Трибу: 15 мин (план дня, восьмёрка); прочие: 10 мин</t>
        </is>
      </c>
      <c r="D13" s="5" t="inlineStr">
        <is>
          <t>Чек-листы Анкор, «План дня МЗ ТРИБУ», «КОРНЕРЫ ЧЕК ЛИСТЫ», «5 минутка Барбара»</t>
        </is>
      </c>
    </row>
    <row r="14" ht="48" customHeight="1">
      <c r="A14" s="5" t="inlineStr">
        <is>
          <t>N10</t>
        </is>
      </c>
      <c r="B14" s="5" t="inlineStr">
        <is>
          <t>Бюджет хозтоваров и упаковки</t>
        </is>
      </c>
      <c r="C14" s="5" t="inlineStr">
        <is>
          <t>1 ч в неделю на файл (снабжение или управляющий)</t>
        </is>
      </c>
      <c r="D14" s="5" t="inlineStr">
        <is>
          <t>Файлы контроля бюджета хозов по объектам</t>
        </is>
      </c>
    </row>
    <row r="15" ht="48" customHeight="1">
      <c r="A15" s="5" t="inlineStr">
        <is>
          <t>N11</t>
        </is>
      </c>
      <c r="B15" s="5" t="inlineStr">
        <is>
          <t>Гостевые списки вручную</t>
        </is>
      </c>
      <c r="C15" s="5" t="inlineStr">
        <is>
          <t>Прозвоны BWI — 2 ч в месяц; гостевая база Чащи в Excel — 4 ч в месяц</t>
        </is>
      </c>
      <c r="D15" s="5" t="inlineStr">
        <is>
          <t>«Прозвоны дни рождений», «Гостевая база Чащи» (4,9 МБ)</t>
        </is>
      </c>
    </row>
    <row r="16" ht="48" customHeight="1">
      <c r="A16" s="5" t="inlineStr">
        <is>
          <t>N12</t>
        </is>
      </c>
      <c r="B16" s="5" t="inlineStr">
        <is>
          <t>Банкетные просчёты и брони в Excel</t>
        </is>
      </c>
      <c r="C16" s="5" t="inlineStr">
        <is>
          <t>1 ч на предзаказ (BWI, около 6 в месяц); банкетный зал: календарь броней 16 ч + просчёты 10 ч</t>
        </is>
      </c>
      <c r="D16" s="5" t="inlineStr">
        <is>
          <t>«Дарья 16.10», «БрониБЗ NEW»</t>
        </is>
      </c>
    </row>
    <row r="17" ht="48" customHeight="1">
      <c r="A17" s="5" t="inlineStr">
        <is>
          <t>N13</t>
        </is>
      </c>
      <c r="B17" s="5" t="inlineStr">
        <is>
          <t>Журнал проблем (ППР) и реестр отзывов</t>
        </is>
      </c>
      <c r="C17" s="5" t="inlineStr">
        <is>
          <t>ППР — 3 ч в месяц; реестр NPS Чащи из скриншотов — 8 ч в месяц</t>
        </is>
      </c>
      <c r="D17" s="5" t="inlineStr">
        <is>
          <t>BWI.xlsx (ППР), «ППР Анкор», «NPS_Чаща»</t>
        </is>
      </c>
    </row>
    <row r="18" ht="48" customHeight="1">
      <c r="A18" s="5" t="inlineStr">
        <is>
          <t>N14</t>
        </is>
      </c>
      <c r="B18" s="5" t="inlineStr">
        <is>
          <t>Дорожная карта месяца</t>
        </is>
      </c>
      <c r="C18" s="5" t="inlineStr">
        <is>
          <t>3 ч в месяц (Анкор: листы «упр» и «шеф»); Barbara и доставка — 2 ч</t>
        </is>
      </c>
      <c r="D18" s="5" t="inlineStr">
        <is>
          <t>Папки «Дорожная карта»</t>
        </is>
      </c>
    </row>
    <row r="19" ht="48" customHeight="1">
      <c r="A19" s="5" t="inlineStr">
        <is>
          <t>N15</t>
        </is>
      </c>
      <c r="B19" s="5" t="inlineStr">
        <is>
          <t>ABC-анализ вручную</t>
        </is>
      </c>
      <c r="C19" s="5" t="inlineStr">
        <is>
          <t>Анкор: 4 файла в месяц — 4 ч; корнеры — 2 ч</t>
        </is>
      </c>
      <c r="D19" s="5" t="inlineStr">
        <is>
          <t>«ABC меню ежемесячный», «ABC 2026»</t>
        </is>
      </c>
    </row>
    <row r="20" ht="48" customHeight="1">
      <c r="A20" s="5" t="inlineStr">
        <is>
          <t>N16</t>
        </is>
      </c>
      <c r="B20" s="5" t="inlineStr">
        <is>
          <t>Тайминги доставки</t>
        </is>
      </c>
      <c r="C20" s="5" t="inlineStr">
        <is>
          <t>3 ч в неделю на выгрузку и разбор</t>
        </is>
      </c>
      <c r="D20" s="5" t="inlineStr">
        <is>
          <t>«Время в пути», «Отчет таймингов»</t>
        </is>
      </c>
    </row>
    <row r="21" ht="48" customHeight="1">
      <c r="A21" s="5" t="inlineStr">
        <is>
          <t>N17</t>
        </is>
      </c>
      <c r="B21" s="5" t="inlineStr">
        <is>
          <t>Фуд-календарь и план ФОТ по цехам</t>
        </is>
      </c>
      <c r="C21" s="5" t="inlineStr">
        <is>
          <t>1 ч в неделю + 2 ч в месяц (Нагорный)</t>
        </is>
      </c>
      <c r="D21" s="5" t="inlineStr">
        <is>
          <t>«Табель и AP» (4,7 МБ)</t>
        </is>
      </c>
    </row>
    <row r="22" ht="48" customHeight="1">
      <c r="A22" s="5" t="inlineStr">
        <is>
          <t>N18</t>
        </is>
      </c>
      <c r="B22" s="5" t="inlineStr">
        <is>
          <t>Развоз и рационы</t>
        </is>
      </c>
      <c r="C22" s="5" t="inlineStr">
        <is>
          <t>10 мин в день (Анкор)</t>
        </is>
      </c>
      <c r="D22" s="5" t="inlineStr">
        <is>
          <t>«РАЗВОЗ_РАЦИОНЫ АНКОР» (2,2 МБ)</t>
        </is>
      </c>
    </row>
    <row r="23" ht="48" customHeight="1">
      <c r="A23" s="5" t="inlineStr">
        <is>
          <t>N19</t>
        </is>
      </c>
      <c r="B23" s="5" t="inlineStr">
        <is>
          <t>Ревизии: защитный файл</t>
        </is>
      </c>
      <c r="C23" s="5" t="inlineStr">
        <is>
          <t>2 ч на подразделение (бар, кухня) в месяц + 1 ч сверки</t>
        </is>
      </c>
      <c r="D23" s="5" t="inlineStr">
        <is>
          <t>Защитные файлы РОСВ, регламент инвентаризаций</t>
        </is>
      </c>
    </row>
    <row r="24" ht="48" customHeight="1">
      <c r="A24" s="5" t="inlineStr">
        <is>
          <t>N20</t>
        </is>
      </c>
      <c r="B24" s="5" t="inlineStr">
        <is>
          <t>Заявки снабжению и перемещения вне панели</t>
        </is>
      </c>
      <c r="C24" s="5" t="inlineStr">
        <is>
          <t>10 мин в день на точку (чаты, заявочные листы)</t>
        </is>
      </c>
      <c r="D24" s="5" t="inlineStr">
        <is>
          <t>Чек-лист Анкор (4 чата заявок), «Заявки Корнеров», «Заявочные листы Исеть»</t>
        </is>
      </c>
    </row>
    <row r="25" ht="48" customHeight="1">
      <c r="A25" s="5" t="inlineStr">
        <is>
          <t>N21</t>
        </is>
      </c>
      <c r="B25" s="5" t="inlineStr">
        <is>
          <t>Кассовые отчёты и инкассация вручную</t>
        </is>
      </c>
      <c r="C25" s="5" t="inlineStr">
        <is>
          <t>Анкор: 20 мин в день (РКО, отчёты 048, объяснительные, фото в чаты); Трибу: 20 мин (инкассация в офис); корнеры: 10 мин на точку (покупюрный бланк)</t>
        </is>
      </c>
      <c r="D25" s="5" t="inlineStr">
        <is>
          <t>Чек-лист Анкор, «План дня МЗ ТРИБУ», «покупюр БВГРКР»</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44" customWidth="1" min="3" max="3"/>
    <col width="22" customWidth="1" min="4" max="4"/>
    <col width="36" customWidth="1" min="5" max="5"/>
    <col width="20" customWidth="1" min="6" max="6"/>
    <col width="12" customWidth="1" min="7" max="7"/>
    <col width="12" customWidth="1" min="8" max="8"/>
    <col width="20" customWidth="1" min="9" max="9"/>
    <col width="30" customWidth="1" min="10" max="10"/>
  </cols>
  <sheetData>
    <row r="1">
      <c r="A1" s="1" t="inlineStr">
        <is>
          <t>Журнал решений проекта</t>
        </is>
      </c>
    </row>
    <row r="2">
      <c r="A2" s="2" t="inlineStr">
        <is>
          <t>Одна строка на решение. Строку в этом формате Claude выдаёт после каждого решения блоком «В журнал решений».</t>
        </is>
      </c>
    </row>
    <row r="4" ht="40" customHeight="1">
      <c r="A4" s="3" t="inlineStr">
        <is>
          <t>Дата</t>
        </is>
      </c>
      <c r="B4" s="3" t="inlineStr">
        <is>
          <t>Шаг</t>
        </is>
      </c>
      <c r="C4" s="3" t="inlineStr">
        <is>
          <t>Решение (одной фразой)</t>
        </is>
      </c>
      <c r="D4" s="3" t="inlineStr">
        <is>
          <t>Предприятие</t>
        </is>
      </c>
      <c r="E4" s="3" t="inlineStr">
        <is>
          <t>Что меняется (файл, чат, операция)</t>
        </is>
      </c>
      <c r="F4" s="3" t="inlineStr">
        <is>
          <t>Ответственный</t>
        </is>
      </c>
      <c r="G4" s="3" t="inlineStr">
        <is>
          <t>Срок</t>
        </is>
      </c>
      <c r="H4" s="3" t="inlineStr">
        <is>
          <t>Ожидаемый эффект, часов в месяц</t>
        </is>
      </c>
      <c r="I4" s="3" t="inlineStr">
        <is>
          <t>Статус (принято / объявлено / сделано / подтверждено замером)</t>
        </is>
      </c>
      <c r="J4" s="3" t="inlineStr">
        <is>
          <t>Комментарий</t>
        </is>
      </c>
    </row>
    <row r="5">
      <c r="A5" s="16" t="inlineStr"/>
      <c r="B5" s="14" t="inlineStr"/>
      <c r="C5" s="14" t="inlineStr"/>
      <c r="D5" s="14" t="inlineStr"/>
      <c r="E5" s="14" t="inlineStr"/>
      <c r="F5" s="14" t="inlineStr"/>
      <c r="G5" s="16" t="inlineStr"/>
      <c r="H5" s="15" t="inlineStr"/>
      <c r="I5" s="14" t="inlineStr"/>
      <c r="J5" s="14" t="inlineStr"/>
    </row>
    <row r="6">
      <c r="A6" s="16" t="inlineStr"/>
      <c r="B6" s="14" t="inlineStr"/>
      <c r="C6" s="14" t="inlineStr"/>
      <c r="D6" s="14" t="inlineStr"/>
      <c r="E6" s="14" t="inlineStr"/>
      <c r="F6" s="14" t="inlineStr"/>
      <c r="G6" s="16" t="inlineStr"/>
      <c r="H6" s="15" t="inlineStr"/>
      <c r="I6" s="14" t="inlineStr"/>
      <c r="J6" s="14" t="inlineStr"/>
    </row>
    <row r="7">
      <c r="A7" s="16" t="inlineStr"/>
      <c r="B7" s="14" t="inlineStr"/>
      <c r="C7" s="14" t="inlineStr"/>
      <c r="D7" s="14" t="inlineStr"/>
      <c r="E7" s="14" t="inlineStr"/>
      <c r="F7" s="14" t="inlineStr"/>
      <c r="G7" s="16" t="inlineStr"/>
      <c r="H7" s="15" t="inlineStr"/>
      <c r="I7" s="14" t="inlineStr"/>
      <c r="J7" s="14" t="inlineStr"/>
    </row>
    <row r="8">
      <c r="A8" s="16" t="inlineStr"/>
      <c r="B8" s="14" t="inlineStr"/>
      <c r="C8" s="14" t="inlineStr"/>
      <c r="D8" s="14" t="inlineStr"/>
      <c r="E8" s="14" t="inlineStr"/>
      <c r="F8" s="14" t="inlineStr"/>
      <c r="G8" s="16" t="inlineStr"/>
      <c r="H8" s="15" t="inlineStr"/>
      <c r="I8" s="14" t="inlineStr"/>
      <c r="J8" s="14" t="inlineStr"/>
    </row>
    <row r="9">
      <c r="A9" s="16" t="inlineStr"/>
      <c r="B9" s="14" t="inlineStr"/>
      <c r="C9" s="14" t="inlineStr"/>
      <c r="D9" s="14" t="inlineStr"/>
      <c r="E9" s="14" t="inlineStr"/>
      <c r="F9" s="14" t="inlineStr"/>
      <c r="G9" s="16" t="inlineStr"/>
      <c r="H9" s="15" t="inlineStr"/>
      <c r="I9" s="14" t="inlineStr"/>
      <c r="J9" s="14" t="inlineStr"/>
    </row>
    <row r="10">
      <c r="A10" s="16" t="inlineStr"/>
      <c r="B10" s="14" t="inlineStr"/>
      <c r="C10" s="14" t="inlineStr"/>
      <c r="D10" s="14" t="inlineStr"/>
      <c r="E10" s="14" t="inlineStr"/>
      <c r="F10" s="14" t="inlineStr"/>
      <c r="G10" s="16" t="inlineStr"/>
      <c r="H10" s="15" t="inlineStr"/>
      <c r="I10" s="14" t="inlineStr"/>
      <c r="J10" s="14" t="inlineStr"/>
    </row>
    <row r="11">
      <c r="A11" s="16" t="inlineStr"/>
      <c r="B11" s="14" t="inlineStr"/>
      <c r="C11" s="14" t="inlineStr"/>
      <c r="D11" s="14" t="inlineStr"/>
      <c r="E11" s="14" t="inlineStr"/>
      <c r="F11" s="14" t="inlineStr"/>
      <c r="G11" s="16" t="inlineStr"/>
      <c r="H11" s="15" t="inlineStr"/>
      <c r="I11" s="14" t="inlineStr"/>
      <c r="J11" s="14" t="inlineStr"/>
    </row>
    <row r="12">
      <c r="A12" s="16" t="inlineStr"/>
      <c r="B12" s="14" t="inlineStr"/>
      <c r="C12" s="14" t="inlineStr"/>
      <c r="D12" s="14" t="inlineStr"/>
      <c r="E12" s="14" t="inlineStr"/>
      <c r="F12" s="14" t="inlineStr"/>
      <c r="G12" s="16" t="inlineStr"/>
      <c r="H12" s="15" t="inlineStr"/>
      <c r="I12" s="14" t="inlineStr"/>
      <c r="J12" s="14" t="inlineStr"/>
    </row>
    <row r="13">
      <c r="A13" s="16" t="inlineStr"/>
      <c r="B13" s="14" t="inlineStr"/>
      <c r="C13" s="14" t="inlineStr"/>
      <c r="D13" s="14" t="inlineStr"/>
      <c r="E13" s="14" t="inlineStr"/>
      <c r="F13" s="14" t="inlineStr"/>
      <c r="G13" s="16" t="inlineStr"/>
      <c r="H13" s="15" t="inlineStr"/>
      <c r="I13" s="14" t="inlineStr"/>
      <c r="J13" s="14" t="inlineStr"/>
    </row>
    <row r="14">
      <c r="A14" s="16" t="inlineStr"/>
      <c r="B14" s="14" t="inlineStr"/>
      <c r="C14" s="14" t="inlineStr"/>
      <c r="D14" s="14" t="inlineStr"/>
      <c r="E14" s="14" t="inlineStr"/>
      <c r="F14" s="14" t="inlineStr"/>
      <c r="G14" s="16" t="inlineStr"/>
      <c r="H14" s="15" t="inlineStr"/>
      <c r="I14" s="14" t="inlineStr"/>
      <c r="J14" s="14" t="inlineStr"/>
    </row>
    <row r="15">
      <c r="A15" s="16" t="inlineStr"/>
      <c r="B15" s="14" t="inlineStr"/>
      <c r="C15" s="14" t="inlineStr"/>
      <c r="D15" s="14" t="inlineStr"/>
      <c r="E15" s="14" t="inlineStr"/>
      <c r="F15" s="14" t="inlineStr"/>
      <c r="G15" s="16" t="inlineStr"/>
      <c r="H15" s="15" t="inlineStr"/>
      <c r="I15" s="14" t="inlineStr"/>
      <c r="J15" s="14" t="inlineStr"/>
    </row>
    <row r="16">
      <c r="A16" s="16" t="inlineStr"/>
      <c r="B16" s="14" t="inlineStr"/>
      <c r="C16" s="14" t="inlineStr"/>
      <c r="D16" s="14" t="inlineStr"/>
      <c r="E16" s="14" t="inlineStr"/>
      <c r="F16" s="14" t="inlineStr"/>
      <c r="G16" s="16" t="inlineStr"/>
      <c r="H16" s="15" t="inlineStr"/>
      <c r="I16" s="14" t="inlineStr"/>
      <c r="J16" s="14" t="inlineStr"/>
    </row>
    <row r="17">
      <c r="A17" s="16" t="inlineStr"/>
      <c r="B17" s="14" t="inlineStr"/>
      <c r="C17" s="14" t="inlineStr"/>
      <c r="D17" s="14" t="inlineStr"/>
      <c r="E17" s="14" t="inlineStr"/>
      <c r="F17" s="14" t="inlineStr"/>
      <c r="G17" s="16" t="inlineStr"/>
      <c r="H17" s="15" t="inlineStr"/>
      <c r="I17" s="14" t="inlineStr"/>
      <c r="J17" s="14" t="inlineStr"/>
    </row>
    <row r="18">
      <c r="A18" s="16" t="inlineStr"/>
      <c r="B18" s="14" t="inlineStr"/>
      <c r="C18" s="14" t="inlineStr"/>
      <c r="D18" s="14" t="inlineStr"/>
      <c r="E18" s="14" t="inlineStr"/>
      <c r="F18" s="14" t="inlineStr"/>
      <c r="G18" s="16" t="inlineStr"/>
      <c r="H18" s="15" t="inlineStr"/>
      <c r="I18" s="14" t="inlineStr"/>
      <c r="J18" s="14" t="inlineStr"/>
    </row>
    <row r="19">
      <c r="A19" s="16" t="inlineStr"/>
      <c r="B19" s="14" t="inlineStr"/>
      <c r="C19" s="14" t="inlineStr"/>
      <c r="D19" s="14" t="inlineStr"/>
      <c r="E19" s="14" t="inlineStr"/>
      <c r="F19" s="14" t="inlineStr"/>
      <c r="G19" s="16" t="inlineStr"/>
      <c r="H19" s="15" t="inlineStr"/>
      <c r="I19" s="14" t="inlineStr"/>
      <c r="J19" s="14" t="inlineStr"/>
    </row>
    <row r="20">
      <c r="A20" s="16" t="inlineStr"/>
      <c r="B20" s="14" t="inlineStr"/>
      <c r="C20" s="14" t="inlineStr"/>
      <c r="D20" s="14" t="inlineStr"/>
      <c r="E20" s="14" t="inlineStr"/>
      <c r="F20" s="14" t="inlineStr"/>
      <c r="G20" s="16" t="inlineStr"/>
      <c r="H20" s="15" t="inlineStr"/>
      <c r="I20" s="14" t="inlineStr"/>
      <c r="J20" s="14" t="inlineStr"/>
    </row>
    <row r="21">
      <c r="A21" s="16" t="inlineStr"/>
      <c r="B21" s="14" t="inlineStr"/>
      <c r="C21" s="14" t="inlineStr"/>
      <c r="D21" s="14" t="inlineStr"/>
      <c r="E21" s="14" t="inlineStr"/>
      <c r="F21" s="14" t="inlineStr"/>
      <c r="G21" s="16" t="inlineStr"/>
      <c r="H21" s="15" t="inlineStr"/>
      <c r="I21" s="14" t="inlineStr"/>
      <c r="J21" s="14" t="inlineStr"/>
    </row>
    <row r="22">
      <c r="A22" s="16" t="inlineStr"/>
      <c r="B22" s="14" t="inlineStr"/>
      <c r="C22" s="14" t="inlineStr"/>
      <c r="D22" s="14" t="inlineStr"/>
      <c r="E22" s="14" t="inlineStr"/>
      <c r="F22" s="14" t="inlineStr"/>
      <c r="G22" s="16" t="inlineStr"/>
      <c r="H22" s="15" t="inlineStr"/>
      <c r="I22" s="14" t="inlineStr"/>
      <c r="J22" s="14" t="inlineStr"/>
    </row>
    <row r="23">
      <c r="A23" s="16" t="inlineStr"/>
      <c r="B23" s="14" t="inlineStr"/>
      <c r="C23" s="14" t="inlineStr"/>
      <c r="D23" s="14" t="inlineStr"/>
      <c r="E23" s="14" t="inlineStr"/>
      <c r="F23" s="14" t="inlineStr"/>
      <c r="G23" s="16" t="inlineStr"/>
      <c r="H23" s="15" t="inlineStr"/>
      <c r="I23" s="14" t="inlineStr"/>
      <c r="J23" s="14" t="inlineStr"/>
    </row>
    <row r="24">
      <c r="A24" s="16" t="inlineStr"/>
      <c r="B24" s="14" t="inlineStr"/>
      <c r="C24" s="14" t="inlineStr"/>
      <c r="D24" s="14" t="inlineStr"/>
      <c r="E24" s="14" t="inlineStr"/>
      <c r="F24" s="14" t="inlineStr"/>
      <c r="G24" s="16" t="inlineStr"/>
      <c r="H24" s="15" t="inlineStr"/>
      <c r="I24" s="14" t="inlineStr"/>
      <c r="J24" s="14" t="inlineStr"/>
    </row>
    <row r="25">
      <c r="A25" s="16" t="inlineStr"/>
      <c r="B25" s="14" t="inlineStr"/>
      <c r="C25" s="14" t="inlineStr"/>
      <c r="D25" s="14" t="inlineStr"/>
      <c r="E25" s="14" t="inlineStr"/>
      <c r="F25" s="14" t="inlineStr"/>
      <c r="G25" s="16" t="inlineStr"/>
      <c r="H25" s="15" t="inlineStr"/>
      <c r="I25" s="14" t="inlineStr"/>
      <c r="J25" s="14" t="inlineStr"/>
    </row>
    <row r="26">
      <c r="A26" s="16" t="inlineStr"/>
      <c r="B26" s="14" t="inlineStr"/>
      <c r="C26" s="14" t="inlineStr"/>
      <c r="D26" s="14" t="inlineStr"/>
      <c r="E26" s="14" t="inlineStr"/>
      <c r="F26" s="14" t="inlineStr"/>
      <c r="G26" s="16" t="inlineStr"/>
      <c r="H26" s="15" t="inlineStr"/>
      <c r="I26" s="14" t="inlineStr"/>
      <c r="J26" s="14" t="inlineStr"/>
    </row>
    <row r="27">
      <c r="A27" s="16" t="inlineStr"/>
      <c r="B27" s="14" t="inlineStr"/>
      <c r="C27" s="14" t="inlineStr"/>
      <c r="D27" s="14" t="inlineStr"/>
      <c r="E27" s="14" t="inlineStr"/>
      <c r="F27" s="14" t="inlineStr"/>
      <c r="G27" s="16" t="inlineStr"/>
      <c r="H27" s="15" t="inlineStr"/>
      <c r="I27" s="14" t="inlineStr"/>
      <c r="J27" s="14" t="inlineStr"/>
    </row>
    <row r="28">
      <c r="A28" s="16" t="inlineStr"/>
      <c r="B28" s="14" t="inlineStr"/>
      <c r="C28" s="14" t="inlineStr"/>
      <c r="D28" s="14" t="inlineStr"/>
      <c r="E28" s="14" t="inlineStr"/>
      <c r="F28" s="14" t="inlineStr"/>
      <c r="G28" s="16" t="inlineStr"/>
      <c r="H28" s="15" t="inlineStr"/>
      <c r="I28" s="14" t="inlineStr"/>
      <c r="J28" s="14" t="inlineStr"/>
    </row>
    <row r="29">
      <c r="A29" s="16" t="inlineStr"/>
      <c r="B29" s="14" t="inlineStr"/>
      <c r="C29" s="14" t="inlineStr"/>
      <c r="D29" s="14" t="inlineStr"/>
      <c r="E29" s="14" t="inlineStr"/>
      <c r="F29" s="14" t="inlineStr"/>
      <c r="G29" s="16" t="inlineStr"/>
      <c r="H29" s="15" t="inlineStr"/>
      <c r="I29" s="14" t="inlineStr"/>
      <c r="J29" s="14" t="inlineStr"/>
    </row>
    <row r="30">
      <c r="A30" s="16" t="inlineStr"/>
      <c r="B30" s="14" t="inlineStr"/>
      <c r="C30" s="14" t="inlineStr"/>
      <c r="D30" s="14" t="inlineStr"/>
      <c r="E30" s="14" t="inlineStr"/>
      <c r="F30" s="14" t="inlineStr"/>
      <c r="G30" s="16" t="inlineStr"/>
      <c r="H30" s="15" t="inlineStr"/>
      <c r="I30" s="14" t="inlineStr"/>
      <c r="J30" s="14" t="inlineStr"/>
    </row>
    <row r="31">
      <c r="A31" s="16" t="inlineStr"/>
      <c r="B31" s="14" t="inlineStr"/>
      <c r="C31" s="14" t="inlineStr"/>
      <c r="D31" s="14" t="inlineStr"/>
      <c r="E31" s="14" t="inlineStr"/>
      <c r="F31" s="14" t="inlineStr"/>
      <c r="G31" s="16" t="inlineStr"/>
      <c r="H31" s="15" t="inlineStr"/>
      <c r="I31" s="14" t="inlineStr"/>
      <c r="J31" s="14" t="inlineStr"/>
    </row>
    <row r="32">
      <c r="A32" s="16" t="inlineStr"/>
      <c r="B32" s="14" t="inlineStr"/>
      <c r="C32" s="14" t="inlineStr"/>
      <c r="D32" s="14" t="inlineStr"/>
      <c r="E32" s="14" t="inlineStr"/>
      <c r="F32" s="14" t="inlineStr"/>
      <c r="G32" s="16" t="inlineStr"/>
      <c r="H32" s="15" t="inlineStr"/>
      <c r="I32" s="14" t="inlineStr"/>
      <c r="J32" s="14" t="inlineStr"/>
    </row>
    <row r="33">
      <c r="A33" s="16" t="inlineStr"/>
      <c r="B33" s="14" t="inlineStr"/>
      <c r="C33" s="14" t="inlineStr"/>
      <c r="D33" s="14" t="inlineStr"/>
      <c r="E33" s="14" t="inlineStr"/>
      <c r="F33" s="14" t="inlineStr"/>
      <c r="G33" s="16" t="inlineStr"/>
      <c r="H33" s="15" t="inlineStr"/>
      <c r="I33" s="14" t="inlineStr"/>
      <c r="J33" s="14" t="inlineStr"/>
    </row>
    <row r="34">
      <c r="A34" s="16" t="inlineStr"/>
      <c r="B34" s="14" t="inlineStr"/>
      <c r="C34" s="14" t="inlineStr"/>
      <c r="D34" s="14" t="inlineStr"/>
      <c r="E34" s="14" t="inlineStr"/>
      <c r="F34" s="14" t="inlineStr"/>
      <c r="G34" s="16" t="inlineStr"/>
      <c r="H34" s="15" t="inlineStr"/>
      <c r="I34" s="14" t="inlineStr"/>
      <c r="J34" s="14" t="inlineStr"/>
    </row>
    <row r="35">
      <c r="A35" s="16" t="inlineStr"/>
      <c r="B35" s="14" t="inlineStr"/>
      <c r="C35" s="14" t="inlineStr"/>
      <c r="D35" s="14" t="inlineStr"/>
      <c r="E35" s="14" t="inlineStr"/>
      <c r="F35" s="14" t="inlineStr"/>
      <c r="G35" s="16" t="inlineStr"/>
      <c r="H35" s="15" t="inlineStr"/>
      <c r="I35" s="14" t="inlineStr"/>
      <c r="J35" s="14" t="inlineStr"/>
    </row>
    <row r="36">
      <c r="A36" s="16" t="inlineStr"/>
      <c r="B36" s="14" t="inlineStr"/>
      <c r="C36" s="14" t="inlineStr"/>
      <c r="D36" s="14" t="inlineStr"/>
      <c r="E36" s="14" t="inlineStr"/>
      <c r="F36" s="14" t="inlineStr"/>
      <c r="G36" s="16" t="inlineStr"/>
      <c r="H36" s="15" t="inlineStr"/>
      <c r="I36" s="14" t="inlineStr"/>
      <c r="J36" s="14" t="inlineStr"/>
    </row>
    <row r="37">
      <c r="A37" s="16" t="inlineStr"/>
      <c r="B37" s="14" t="inlineStr"/>
      <c r="C37" s="14" t="inlineStr"/>
      <c r="D37" s="14" t="inlineStr"/>
      <c r="E37" s="14" t="inlineStr"/>
      <c r="F37" s="14" t="inlineStr"/>
      <c r="G37" s="16" t="inlineStr"/>
      <c r="H37" s="15" t="inlineStr"/>
      <c r="I37" s="14" t="inlineStr"/>
      <c r="J37" s="14" t="inlineStr"/>
    </row>
    <row r="38">
      <c r="A38" s="16" t="inlineStr"/>
      <c r="B38" s="14" t="inlineStr"/>
      <c r="C38" s="14" t="inlineStr"/>
      <c r="D38" s="14" t="inlineStr"/>
      <c r="E38" s="14" t="inlineStr"/>
      <c r="F38" s="14" t="inlineStr"/>
      <c r="G38" s="16" t="inlineStr"/>
      <c r="H38" s="15" t="inlineStr"/>
      <c r="I38" s="14" t="inlineStr"/>
      <c r="J38" s="14" t="inlineStr"/>
    </row>
    <row r="39">
      <c r="A39" s="16" t="inlineStr"/>
      <c r="B39" s="14" t="inlineStr"/>
      <c r="C39" s="14" t="inlineStr"/>
      <c r="D39" s="14" t="inlineStr"/>
      <c r="E39" s="14" t="inlineStr"/>
      <c r="F39" s="14" t="inlineStr"/>
      <c r="G39" s="16" t="inlineStr"/>
      <c r="H39" s="15" t="inlineStr"/>
      <c r="I39" s="14" t="inlineStr"/>
      <c r="J39" s="14" t="inlineStr"/>
    </row>
    <row r="40">
      <c r="A40" s="16" t="inlineStr"/>
      <c r="B40" s="14" t="inlineStr"/>
      <c r="C40" s="14" t="inlineStr"/>
      <c r="D40" s="14" t="inlineStr"/>
      <c r="E40" s="14" t="inlineStr"/>
      <c r="F40" s="14" t="inlineStr"/>
      <c r="G40" s="16" t="inlineStr"/>
      <c r="H40" s="15" t="inlineStr"/>
      <c r="I40" s="14" t="inlineStr"/>
      <c r="J40" s="14" t="inlineStr"/>
    </row>
    <row r="41">
      <c r="A41" s="16" t="inlineStr"/>
      <c r="B41" s="14" t="inlineStr"/>
      <c r="C41" s="14" t="inlineStr"/>
      <c r="D41" s="14" t="inlineStr"/>
      <c r="E41" s="14" t="inlineStr"/>
      <c r="F41" s="14" t="inlineStr"/>
      <c r="G41" s="16" t="inlineStr"/>
      <c r="H41" s="15" t="inlineStr"/>
      <c r="I41" s="14" t="inlineStr"/>
      <c r="J41" s="14" t="inlineStr"/>
    </row>
    <row r="42">
      <c r="A42" s="16" t="inlineStr"/>
      <c r="B42" s="14" t="inlineStr"/>
      <c r="C42" s="14" t="inlineStr"/>
      <c r="D42" s="14" t="inlineStr"/>
      <c r="E42" s="14" t="inlineStr"/>
      <c r="F42" s="14" t="inlineStr"/>
      <c r="G42" s="16" t="inlineStr"/>
      <c r="H42" s="15" t="inlineStr"/>
      <c r="I42" s="14" t="inlineStr"/>
      <c r="J42" s="14" t="inlineStr"/>
    </row>
    <row r="43">
      <c r="A43" s="16" t="inlineStr"/>
      <c r="B43" s="14" t="inlineStr"/>
      <c r="C43" s="14" t="inlineStr"/>
      <c r="D43" s="14" t="inlineStr"/>
      <c r="E43" s="14" t="inlineStr"/>
      <c r="F43" s="14" t="inlineStr"/>
      <c r="G43" s="16" t="inlineStr"/>
      <c r="H43" s="15" t="inlineStr"/>
      <c r="I43" s="14" t="inlineStr"/>
      <c r="J43" s="14" t="inlineStr"/>
    </row>
    <row r="44">
      <c r="A44" s="16" t="inlineStr"/>
      <c r="B44" s="14" t="inlineStr"/>
      <c r="C44" s="14" t="inlineStr"/>
      <c r="D44" s="14" t="inlineStr"/>
      <c r="E44" s="14" t="inlineStr"/>
      <c r="F44" s="14" t="inlineStr"/>
      <c r="G44" s="16" t="inlineStr"/>
      <c r="H44" s="15" t="inlineStr"/>
      <c r="I44" s="14" t="inlineStr"/>
      <c r="J44" s="14" t="inlineStr"/>
    </row>
    <row r="45">
      <c r="A45" s="16" t="inlineStr"/>
      <c r="B45" s="14" t="inlineStr"/>
      <c r="C45" s="14" t="inlineStr"/>
      <c r="D45" s="14" t="inlineStr"/>
      <c r="E45" s="14" t="inlineStr"/>
      <c r="F45" s="14" t="inlineStr"/>
      <c r="G45" s="16" t="inlineStr"/>
      <c r="H45" s="15" t="inlineStr"/>
      <c r="I45" s="14" t="inlineStr"/>
      <c r="J45" s="14" t="inlineStr"/>
    </row>
    <row r="46">
      <c r="A46" s="16" t="inlineStr"/>
      <c r="B46" s="14" t="inlineStr"/>
      <c r="C46" s="14" t="inlineStr"/>
      <c r="D46" s="14" t="inlineStr"/>
      <c r="E46" s="14" t="inlineStr"/>
      <c r="F46" s="14" t="inlineStr"/>
      <c r="G46" s="16" t="inlineStr"/>
      <c r="H46" s="15" t="inlineStr"/>
      <c r="I46" s="14" t="inlineStr"/>
      <c r="J46" s="14" t="inlineStr"/>
    </row>
    <row r="47">
      <c r="A47" s="16" t="inlineStr"/>
      <c r="B47" s="14" t="inlineStr"/>
      <c r="C47" s="14" t="inlineStr"/>
      <c r="D47" s="14" t="inlineStr"/>
      <c r="E47" s="14" t="inlineStr"/>
      <c r="F47" s="14" t="inlineStr"/>
      <c r="G47" s="16" t="inlineStr"/>
      <c r="H47" s="15" t="inlineStr"/>
      <c r="I47" s="14" t="inlineStr"/>
      <c r="J47" s="14" t="inlineStr"/>
    </row>
    <row r="48">
      <c r="A48" s="16" t="inlineStr"/>
      <c r="B48" s="14" t="inlineStr"/>
      <c r="C48" s="14" t="inlineStr"/>
      <c r="D48" s="14" t="inlineStr"/>
      <c r="E48" s="14" t="inlineStr"/>
      <c r="F48" s="14" t="inlineStr"/>
      <c r="G48" s="16" t="inlineStr"/>
      <c r="H48" s="15" t="inlineStr"/>
      <c r="I48" s="14" t="inlineStr"/>
      <c r="J48" s="14" t="inlineStr"/>
    </row>
    <row r="49">
      <c r="A49" s="16" t="inlineStr"/>
      <c r="B49" s="14" t="inlineStr"/>
      <c r="C49" s="14" t="inlineStr"/>
      <c r="D49" s="14" t="inlineStr"/>
      <c r="E49" s="14" t="inlineStr"/>
      <c r="F49" s="14" t="inlineStr"/>
      <c r="G49" s="16" t="inlineStr"/>
      <c r="H49" s="15" t="inlineStr"/>
      <c r="I49" s="14" t="inlineStr"/>
      <c r="J49" s="14" t="inlineStr"/>
    </row>
    <row r="50">
      <c r="A50" s="16" t="inlineStr"/>
      <c r="B50" s="14" t="inlineStr"/>
      <c r="C50" s="14" t="inlineStr"/>
      <c r="D50" s="14" t="inlineStr"/>
      <c r="E50" s="14" t="inlineStr"/>
      <c r="F50" s="14" t="inlineStr"/>
      <c r="G50" s="16" t="inlineStr"/>
      <c r="H50" s="15" t="inlineStr"/>
      <c r="I50" s="14" t="inlineStr"/>
      <c r="J50" s="14" t="inlineStr"/>
    </row>
    <row r="51">
      <c r="A51" s="16" t="inlineStr"/>
      <c r="B51" s="14" t="inlineStr"/>
      <c r="C51" s="14" t="inlineStr"/>
      <c r="D51" s="14" t="inlineStr"/>
      <c r="E51" s="14" t="inlineStr"/>
      <c r="F51" s="14" t="inlineStr"/>
      <c r="G51" s="16" t="inlineStr"/>
      <c r="H51" s="15" t="inlineStr"/>
      <c r="I51" s="14" t="inlineStr"/>
      <c r="J51" s="14" t="inlineStr"/>
    </row>
    <row r="52">
      <c r="A52" s="16" t="inlineStr"/>
      <c r="B52" s="14" t="inlineStr"/>
      <c r="C52" s="14" t="inlineStr"/>
      <c r="D52" s="14" t="inlineStr"/>
      <c r="E52" s="14" t="inlineStr"/>
      <c r="F52" s="14" t="inlineStr"/>
      <c r="G52" s="16" t="inlineStr"/>
      <c r="H52" s="15" t="inlineStr"/>
      <c r="I52" s="14" t="inlineStr"/>
      <c r="J52" s="14" t="inlineStr"/>
    </row>
    <row r="53">
      <c r="A53" s="16" t="inlineStr"/>
      <c r="B53" s="14" t="inlineStr"/>
      <c r="C53" s="14" t="inlineStr"/>
      <c r="D53" s="14" t="inlineStr"/>
      <c r="E53" s="14" t="inlineStr"/>
      <c r="F53" s="14" t="inlineStr"/>
      <c r="G53" s="16" t="inlineStr"/>
      <c r="H53" s="15" t="inlineStr"/>
      <c r="I53" s="14" t="inlineStr"/>
      <c r="J53" s="14" t="inlineStr"/>
    </row>
    <row r="54">
      <c r="A54" s="16" t="inlineStr"/>
      <c r="B54" s="14" t="inlineStr"/>
      <c r="C54" s="14" t="inlineStr"/>
      <c r="D54" s="14" t="inlineStr"/>
      <c r="E54" s="14" t="inlineStr"/>
      <c r="F54" s="14" t="inlineStr"/>
      <c r="G54" s="16" t="inlineStr"/>
      <c r="H54" s="15" t="inlineStr"/>
      <c r="I54" s="14" t="inlineStr"/>
      <c r="J54" s="14" t="inlineStr"/>
    </row>
    <row r="55">
      <c r="A55" s="16" t="inlineStr"/>
      <c r="B55" s="14" t="inlineStr"/>
      <c r="C55" s="14" t="inlineStr"/>
      <c r="D55" s="14" t="inlineStr"/>
      <c r="E55" s="14" t="inlineStr"/>
      <c r="F55" s="14" t="inlineStr"/>
      <c r="G55" s="16" t="inlineStr"/>
      <c r="H55" s="15" t="inlineStr"/>
      <c r="I55" s="14" t="inlineStr"/>
      <c r="J55" s="14" t="inlineStr"/>
    </row>
    <row r="56">
      <c r="A56" s="16" t="inlineStr"/>
      <c r="B56" s="14" t="inlineStr"/>
      <c r="C56" s="14" t="inlineStr"/>
      <c r="D56" s="14" t="inlineStr"/>
      <c r="E56" s="14" t="inlineStr"/>
      <c r="F56" s="14" t="inlineStr"/>
      <c r="G56" s="16" t="inlineStr"/>
      <c r="H56" s="15" t="inlineStr"/>
      <c r="I56" s="14" t="inlineStr"/>
      <c r="J56" s="14" t="inlineStr"/>
    </row>
    <row r="57">
      <c r="A57" s="16" t="inlineStr"/>
      <c r="B57" s="14" t="inlineStr"/>
      <c r="C57" s="14" t="inlineStr"/>
      <c r="D57" s="14" t="inlineStr"/>
      <c r="E57" s="14" t="inlineStr"/>
      <c r="F57" s="14" t="inlineStr"/>
      <c r="G57" s="16" t="inlineStr"/>
      <c r="H57" s="15" t="inlineStr"/>
      <c r="I57" s="14" t="inlineStr"/>
      <c r="J57" s="14" t="inlineStr"/>
    </row>
    <row r="58">
      <c r="A58" s="16" t="inlineStr"/>
      <c r="B58" s="14" t="inlineStr"/>
      <c r="C58" s="14" t="inlineStr"/>
      <c r="D58" s="14" t="inlineStr"/>
      <c r="E58" s="14" t="inlineStr"/>
      <c r="F58" s="14" t="inlineStr"/>
      <c r="G58" s="16" t="inlineStr"/>
      <c r="H58" s="15" t="inlineStr"/>
      <c r="I58" s="14" t="inlineStr"/>
      <c r="J58" s="14" t="inlineStr"/>
    </row>
    <row r="59">
      <c r="A59" s="16" t="inlineStr"/>
      <c r="B59" s="14" t="inlineStr"/>
      <c r="C59" s="14" t="inlineStr"/>
      <c r="D59" s="14" t="inlineStr"/>
      <c r="E59" s="14" t="inlineStr"/>
      <c r="F59" s="14" t="inlineStr"/>
      <c r="G59" s="16" t="inlineStr"/>
      <c r="H59" s="15" t="inlineStr"/>
      <c r="I59" s="14" t="inlineStr"/>
      <c r="J59" s="14" t="inlineStr"/>
    </row>
    <row r="60">
      <c r="A60" s="16" t="inlineStr"/>
      <c r="B60" s="14" t="inlineStr"/>
      <c r="C60" s="14" t="inlineStr"/>
      <c r="D60" s="14" t="inlineStr"/>
      <c r="E60" s="14" t="inlineStr"/>
      <c r="F60" s="14" t="inlineStr"/>
      <c r="G60" s="16" t="inlineStr"/>
      <c r="H60" s="15" t="inlineStr"/>
      <c r="I60" s="14" t="inlineStr"/>
      <c r="J60" s="14" t="inlineStr"/>
    </row>
    <row r="61">
      <c r="A61" s="16" t="inlineStr"/>
      <c r="B61" s="14" t="inlineStr"/>
      <c r="C61" s="14" t="inlineStr"/>
      <c r="D61" s="14" t="inlineStr"/>
      <c r="E61" s="14" t="inlineStr"/>
      <c r="F61" s="14" t="inlineStr"/>
      <c r="G61" s="16" t="inlineStr"/>
      <c r="H61" s="15" t="inlineStr"/>
      <c r="I61" s="14" t="inlineStr"/>
      <c r="J61" s="14" t="inlineStr"/>
    </row>
    <row r="62">
      <c r="A62" s="16" t="inlineStr"/>
      <c r="B62" s="14" t="inlineStr"/>
      <c r="C62" s="14" t="inlineStr"/>
      <c r="D62" s="14" t="inlineStr"/>
      <c r="E62" s="14" t="inlineStr"/>
      <c r="F62" s="14" t="inlineStr"/>
      <c r="G62" s="16" t="inlineStr"/>
      <c r="H62" s="15" t="inlineStr"/>
      <c r="I62" s="14" t="inlineStr"/>
      <c r="J62" s="14" t="inlineStr"/>
    </row>
    <row r="63">
      <c r="A63" s="16" t="inlineStr"/>
      <c r="B63" s="14" t="inlineStr"/>
      <c r="C63" s="14" t="inlineStr"/>
      <c r="D63" s="14" t="inlineStr"/>
      <c r="E63" s="14" t="inlineStr"/>
      <c r="F63" s="14" t="inlineStr"/>
      <c r="G63" s="16" t="inlineStr"/>
      <c r="H63" s="15" t="inlineStr"/>
      <c r="I63" s="14" t="inlineStr"/>
      <c r="J63" s="14" t="inlineStr"/>
    </row>
    <row r="64">
      <c r="A64" s="16" t="inlineStr"/>
      <c r="B64" s="14" t="inlineStr"/>
      <c r="C64" s="14" t="inlineStr"/>
      <c r="D64" s="14" t="inlineStr"/>
      <c r="E64" s="14" t="inlineStr"/>
      <c r="F64" s="14" t="inlineStr"/>
      <c r="G64" s="16" t="inlineStr"/>
      <c r="H64" s="15" t="inlineStr"/>
      <c r="I64" s="14" t="inlineStr"/>
      <c r="J64" s="14" t="inlineStr"/>
    </row>
    <row r="66">
      <c r="G66" s="11" t="inlineStr">
        <is>
          <t>Итого эффект, часов</t>
        </is>
      </c>
      <c r="H66" s="13">
        <f>SUM(H5:H64)</f>
        <v/>
      </c>
    </row>
  </sheetData>
  <dataValidations count="2">
    <dataValidation sqref="I5 I6 I7 I8 I9 I10 I11 I12 I13 I14 I15 I16 I17 I18 I19 I20 I21 I22 I23 I24 I25 I26 I27 I28 I29 I30 I31 I32 I33 I34 I35 I36 I37 I38 I39 I40 I41 I42 I43 I44 I45 I46 I47 I48 I49 I50 I51 I52 I53 I54 I55 I56 I57 I58 I59 I60 I61 I62 I63 I64" showDropDown="0" showInputMessage="0" showErrorMessage="0" allowBlank="1" type="list">
      <formula1>"принято,объявлено,сделано,подтверждено замером,отменено"</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1" type="list">
      <formula1>"0,1,2,3,4,5,6,7,8"</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6" customWidth="1" min="3" max="3"/>
    <col width="6" customWidth="1" min="4" max="4"/>
    <col width="6" customWidth="1" min="5" max="5"/>
    <col width="6" customWidth="1" min="6" max="6"/>
    <col width="6" customWidth="1" min="7" max="7"/>
    <col width="6" customWidth="1" min="8" max="8"/>
    <col width="6" customWidth="1" min="9" max="9"/>
    <col width="12" customWidth="1" min="10" max="10"/>
    <col width="40" customWidth="1" min="11" max="11"/>
  </cols>
  <sheetData>
    <row r="1">
      <c r="A1" s="1" t="inlineStr">
        <is>
          <t>Бланк хронометража недели</t>
        </is>
      </c>
    </row>
    <row r="2">
      <c r="A2" s="2" t="inlineStr">
        <is>
          <t>Один лист — одно предприятие, одна неделя. Минуты за смену; итог недели считается сам. Скопируйте лист на каждый пилот.</t>
        </is>
      </c>
    </row>
    <row r="3">
      <c r="A3" s="6" t="inlineStr">
        <is>
          <t>Предприятие:</t>
        </is>
      </c>
      <c r="B3" s="14" t="inlineStr"/>
      <c r="D3" s="6" t="inlineStr">
        <is>
          <t>Неделя с:</t>
        </is>
      </c>
      <c r="E3" s="16" t="inlineStr"/>
    </row>
    <row r="4" ht="36" customHeight="1">
      <c r="A4" s="3" t="inlineStr">
        <is>
          <t>Операция</t>
        </is>
      </c>
      <c r="B4" s="3" t="inlineStr">
        <is>
          <t>Кто делает</t>
        </is>
      </c>
      <c r="C4" s="3" t="inlineStr">
        <is>
          <t>Пн</t>
        </is>
      </c>
      <c r="D4" s="3" t="inlineStr">
        <is>
          <t>Вт</t>
        </is>
      </c>
      <c r="E4" s="3" t="inlineStr">
        <is>
          <t>Ср</t>
        </is>
      </c>
      <c r="F4" s="3" t="inlineStr">
        <is>
          <t>Чт</t>
        </is>
      </c>
      <c r="G4" s="3" t="inlineStr">
        <is>
          <t>Пт</t>
        </is>
      </c>
      <c r="H4" s="3" t="inlineStr">
        <is>
          <t>Сб</t>
        </is>
      </c>
      <c r="I4" s="3" t="inlineStr">
        <is>
          <t>Вс</t>
        </is>
      </c>
      <c r="J4" s="3" t="inlineStr">
        <is>
          <t>Итого минут за неделю</t>
        </is>
      </c>
      <c r="K4" s="3" t="inlineStr">
        <is>
          <t>Что мешало / что можно убрать</t>
        </is>
      </c>
    </row>
    <row r="5">
      <c r="A5" s="14" t="inlineStr"/>
      <c r="B5" s="14" t="inlineStr"/>
      <c r="C5" s="17" t="inlineStr"/>
      <c r="D5" s="17" t="inlineStr"/>
      <c r="E5" s="17" t="inlineStr"/>
      <c r="F5" s="17" t="inlineStr"/>
      <c r="G5" s="17" t="inlineStr"/>
      <c r="H5" s="17" t="inlineStr"/>
      <c r="I5" s="17" t="inlineStr"/>
      <c r="J5" s="18">
        <f>SUM(C5:I5)</f>
        <v/>
      </c>
      <c r="K5" s="14" t="inlineStr"/>
    </row>
    <row r="6">
      <c r="A6" s="14" t="inlineStr"/>
      <c r="B6" s="14" t="inlineStr"/>
      <c r="C6" s="17" t="inlineStr"/>
      <c r="D6" s="17" t="inlineStr"/>
      <c r="E6" s="17" t="inlineStr"/>
      <c r="F6" s="17" t="inlineStr"/>
      <c r="G6" s="17" t="inlineStr"/>
      <c r="H6" s="17" t="inlineStr"/>
      <c r="I6" s="17" t="inlineStr"/>
      <c r="J6" s="18">
        <f>SUM(C6:I6)</f>
        <v/>
      </c>
      <c r="K6" s="14" t="inlineStr"/>
    </row>
    <row r="7">
      <c r="A7" s="14" t="inlineStr"/>
      <c r="B7" s="14" t="inlineStr"/>
      <c r="C7" s="17" t="inlineStr"/>
      <c r="D7" s="17" t="inlineStr"/>
      <c r="E7" s="17" t="inlineStr"/>
      <c r="F7" s="17" t="inlineStr"/>
      <c r="G7" s="17" t="inlineStr"/>
      <c r="H7" s="17" t="inlineStr"/>
      <c r="I7" s="17" t="inlineStr"/>
      <c r="J7" s="18">
        <f>SUM(C7:I7)</f>
        <v/>
      </c>
      <c r="K7" s="14" t="inlineStr"/>
    </row>
    <row r="8">
      <c r="A8" s="14" t="inlineStr"/>
      <c r="B8" s="14" t="inlineStr"/>
      <c r="C8" s="17" t="inlineStr"/>
      <c r="D8" s="17" t="inlineStr"/>
      <c r="E8" s="17" t="inlineStr"/>
      <c r="F8" s="17" t="inlineStr"/>
      <c r="G8" s="17" t="inlineStr"/>
      <c r="H8" s="17" t="inlineStr"/>
      <c r="I8" s="17" t="inlineStr"/>
      <c r="J8" s="18">
        <f>SUM(C8:I8)</f>
        <v/>
      </c>
      <c r="K8" s="14" t="inlineStr"/>
    </row>
    <row r="9">
      <c r="A9" s="14" t="inlineStr"/>
      <c r="B9" s="14" t="inlineStr"/>
      <c r="C9" s="17" t="inlineStr"/>
      <c r="D9" s="17" t="inlineStr"/>
      <c r="E9" s="17" t="inlineStr"/>
      <c r="F9" s="17" t="inlineStr"/>
      <c r="G9" s="17" t="inlineStr"/>
      <c r="H9" s="17" t="inlineStr"/>
      <c r="I9" s="17" t="inlineStr"/>
      <c r="J9" s="18">
        <f>SUM(C9:I9)</f>
        <v/>
      </c>
      <c r="K9" s="14" t="inlineStr"/>
    </row>
    <row r="10">
      <c r="A10" s="14" t="inlineStr"/>
      <c r="B10" s="14" t="inlineStr"/>
      <c r="C10" s="17" t="inlineStr"/>
      <c r="D10" s="17" t="inlineStr"/>
      <c r="E10" s="17" t="inlineStr"/>
      <c r="F10" s="17" t="inlineStr"/>
      <c r="G10" s="17" t="inlineStr"/>
      <c r="H10" s="17" t="inlineStr"/>
      <c r="I10" s="17" t="inlineStr"/>
      <c r="J10" s="18">
        <f>SUM(C10:I10)</f>
        <v/>
      </c>
      <c r="K10" s="14" t="inlineStr"/>
    </row>
    <row r="11">
      <c r="A11" s="14" t="inlineStr"/>
      <c r="B11" s="14" t="inlineStr"/>
      <c r="C11" s="17" t="inlineStr"/>
      <c r="D11" s="17" t="inlineStr"/>
      <c r="E11" s="17" t="inlineStr"/>
      <c r="F11" s="17" t="inlineStr"/>
      <c r="G11" s="17" t="inlineStr"/>
      <c r="H11" s="17" t="inlineStr"/>
      <c r="I11" s="17" t="inlineStr"/>
      <c r="J11" s="18">
        <f>SUM(C11:I11)</f>
        <v/>
      </c>
      <c r="K11" s="14" t="inlineStr"/>
    </row>
    <row r="12">
      <c r="A12" s="14" t="inlineStr"/>
      <c r="B12" s="14" t="inlineStr"/>
      <c r="C12" s="17" t="inlineStr"/>
      <c r="D12" s="17" t="inlineStr"/>
      <c r="E12" s="17" t="inlineStr"/>
      <c r="F12" s="17" t="inlineStr"/>
      <c r="G12" s="17" t="inlineStr"/>
      <c r="H12" s="17" t="inlineStr"/>
      <c r="I12" s="17" t="inlineStr"/>
      <c r="J12" s="18">
        <f>SUM(C12:I12)</f>
        <v/>
      </c>
      <c r="K12" s="14" t="inlineStr"/>
    </row>
    <row r="13">
      <c r="A13" s="14" t="inlineStr"/>
      <c r="B13" s="14" t="inlineStr"/>
      <c r="C13" s="17" t="inlineStr"/>
      <c r="D13" s="17" t="inlineStr"/>
      <c r="E13" s="17" t="inlineStr"/>
      <c r="F13" s="17" t="inlineStr"/>
      <c r="G13" s="17" t="inlineStr"/>
      <c r="H13" s="17" t="inlineStr"/>
      <c r="I13" s="17" t="inlineStr"/>
      <c r="J13" s="18">
        <f>SUM(C13:I13)</f>
        <v/>
      </c>
      <c r="K13" s="14" t="inlineStr"/>
    </row>
    <row r="14">
      <c r="A14" s="14" t="inlineStr"/>
      <c r="B14" s="14" t="inlineStr"/>
      <c r="C14" s="17" t="inlineStr"/>
      <c r="D14" s="17" t="inlineStr"/>
      <c r="E14" s="17" t="inlineStr"/>
      <c r="F14" s="17" t="inlineStr"/>
      <c r="G14" s="17" t="inlineStr"/>
      <c r="H14" s="17" t="inlineStr"/>
      <c r="I14" s="17" t="inlineStr"/>
      <c r="J14" s="18">
        <f>SUM(C14:I14)</f>
        <v/>
      </c>
      <c r="K14" s="14" t="inlineStr"/>
    </row>
    <row r="15">
      <c r="A15" s="14" t="inlineStr"/>
      <c r="B15" s="14" t="inlineStr"/>
      <c r="C15" s="17" t="inlineStr"/>
      <c r="D15" s="17" t="inlineStr"/>
      <c r="E15" s="17" t="inlineStr"/>
      <c r="F15" s="17" t="inlineStr"/>
      <c r="G15" s="17" t="inlineStr"/>
      <c r="H15" s="17" t="inlineStr"/>
      <c r="I15" s="17" t="inlineStr"/>
      <c r="J15" s="18">
        <f>SUM(C15:I15)</f>
        <v/>
      </c>
      <c r="K15" s="14" t="inlineStr"/>
    </row>
    <row r="16">
      <c r="A16" s="14" t="inlineStr"/>
      <c r="B16" s="14" t="inlineStr"/>
      <c r="C16" s="17" t="inlineStr"/>
      <c r="D16" s="17" t="inlineStr"/>
      <c r="E16" s="17" t="inlineStr"/>
      <c r="F16" s="17" t="inlineStr"/>
      <c r="G16" s="17" t="inlineStr"/>
      <c r="H16" s="17" t="inlineStr"/>
      <c r="I16" s="17" t="inlineStr"/>
      <c r="J16" s="18">
        <f>SUM(C16:I16)</f>
        <v/>
      </c>
      <c r="K16" s="14" t="inlineStr"/>
    </row>
    <row r="17">
      <c r="A17" s="14" t="inlineStr"/>
      <c r="B17" s="14" t="inlineStr"/>
      <c r="C17" s="17" t="inlineStr"/>
      <c r="D17" s="17" t="inlineStr"/>
      <c r="E17" s="17" t="inlineStr"/>
      <c r="F17" s="17" t="inlineStr"/>
      <c r="G17" s="17" t="inlineStr"/>
      <c r="H17" s="17" t="inlineStr"/>
      <c r="I17" s="17" t="inlineStr"/>
      <c r="J17" s="18">
        <f>SUM(C17:I17)</f>
        <v/>
      </c>
      <c r="K17" s="14" t="inlineStr"/>
    </row>
    <row r="18">
      <c r="A18" s="14" t="inlineStr"/>
      <c r="B18" s="14" t="inlineStr"/>
      <c r="C18" s="17" t="inlineStr"/>
      <c r="D18" s="17" t="inlineStr"/>
      <c r="E18" s="17" t="inlineStr"/>
      <c r="F18" s="17" t="inlineStr"/>
      <c r="G18" s="17" t="inlineStr"/>
      <c r="H18" s="17" t="inlineStr"/>
      <c r="I18" s="17" t="inlineStr"/>
      <c r="J18" s="18">
        <f>SUM(C18:I18)</f>
        <v/>
      </c>
      <c r="K18" s="14" t="inlineStr"/>
    </row>
    <row r="19">
      <c r="A19" s="14" t="inlineStr"/>
      <c r="B19" s="14" t="inlineStr"/>
      <c r="C19" s="17" t="inlineStr"/>
      <c r="D19" s="17" t="inlineStr"/>
      <c r="E19" s="17" t="inlineStr"/>
      <c r="F19" s="17" t="inlineStr"/>
      <c r="G19" s="17" t="inlineStr"/>
      <c r="H19" s="17" t="inlineStr"/>
      <c r="I19" s="17" t="inlineStr"/>
      <c r="J19" s="18">
        <f>SUM(C19:I19)</f>
        <v/>
      </c>
      <c r="K19" s="14" t="inlineStr"/>
    </row>
    <row r="20">
      <c r="A20" s="11" t="inlineStr">
        <is>
          <t>ИТОГО минут</t>
        </is>
      </c>
      <c r="C20" s="19">
        <f>SUM(C5:C19)</f>
        <v/>
      </c>
      <c r="D20" s="19">
        <f>SUM(D5:D19)</f>
        <v/>
      </c>
      <c r="E20" s="19">
        <f>SUM(E5:E19)</f>
        <v/>
      </c>
      <c r="F20" s="19">
        <f>SUM(F5:F19)</f>
        <v/>
      </c>
      <c r="G20" s="19">
        <f>SUM(G5:G19)</f>
        <v/>
      </c>
      <c r="H20" s="19">
        <f>SUM(H5:H19)</f>
        <v/>
      </c>
      <c r="I20" s="19">
        <f>SUM(I5:I19)</f>
        <v/>
      </c>
      <c r="J20" s="19">
        <f>SUM(J5:J19)</f>
        <v/>
      </c>
    </row>
    <row r="21">
      <c r="A21" s="11" t="inlineStr">
        <is>
          <t>ИТОГО часов за неделю</t>
        </is>
      </c>
      <c r="J21" s="13">
        <f>J20/60</f>
        <v/>
      </c>
    </row>
    <row r="22">
      <c r="A22" s="11" t="inlineStr">
        <is>
          <t>Часов в месяц (×4,3)</t>
        </is>
      </c>
      <c r="J22" s="13">
        <f>J21*4.3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2026-10-16T13:15:48Z</dcterms:created>
  <dcterms:modified xmlns:dcterms="http://purl.org/dc/terms/" xmlns:xsi="http://www.w3.org/2001/XMLSchema-instance" xsi:type="dcterms:W3CDTF">2026-10-16T13:15:48Z</dcterms:modified>
</cp:coreProperties>
</file>